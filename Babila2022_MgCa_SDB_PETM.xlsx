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<sst xmlns="http://schemas.openxmlformats.org/spreadsheetml/2006/main" count="59" uniqueCount="16">
  <si>
    <t xml:space="preserve">Species</t>
  </si>
  <si>
    <t xml:space="preserve">Average depth (ft) </t>
  </si>
  <si>
    <t xml:space="preserve">Average depth (m) </t>
  </si>
  <si>
    <t xml:space="preserve">Mg/Ca mmol/mol</t>
  </si>
  <si>
    <t xml:space="preserve">expoConstant_A</t>
  </si>
  <si>
    <t xml:space="preserve">preexpoConstant_B</t>
  </si>
  <si>
    <t xml:space="preserve">T_est</t>
  </si>
  <si>
    <t xml:space="preserve">lower_expoConstant_A</t>
  </si>
  <si>
    <t xml:space="preserve">low_preexpoConstant_B</t>
  </si>
  <si>
    <t xml:space="preserve">lower_T_est</t>
  </si>
  <si>
    <t xml:space="preserve">higher_expoConstant_A</t>
  </si>
  <si>
    <t xml:space="preserve">higher_preexpoConstant_B</t>
  </si>
  <si>
    <t xml:space="preserve">higher_T_est</t>
  </si>
  <si>
    <t xml:space="preserve">Subbotina</t>
  </si>
  <si>
    <t xml:space="preserve">Acarinina</t>
  </si>
  <si>
    <t xml:space="preserve">Morozovella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</si>
</sst>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i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Sheet1" xfId="20"/>
    <cellStyle name="Normal_trace element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9" activeCellId="0" sqref="K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1" width="14.93"/>
    <col collapsed="false" customWidth="true" hidden="false" outlineLevel="0" max="6" min="6" style="1" width="17.43"/>
  </cols>
  <sheetData>
    <row r="1" customFormat="false" ht="84.3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4" t="s">
        <v>13</v>
      </c>
      <c r="B2" s="5" t="n">
        <v>688.55</v>
      </c>
      <c r="C2" s="6" t="n">
        <f aca="false">B2/3.2808</f>
        <v>209.872592050719</v>
      </c>
      <c r="D2" s="6" t="n">
        <v>3.37770637043789</v>
      </c>
      <c r="E2" s="1" t="n">
        <v>0.06</v>
      </c>
      <c r="F2" s="1" t="n">
        <v>0.52</v>
      </c>
      <c r="G2" s="1" t="n">
        <f aca="false">LN(D2/F2)/E2</f>
        <v>31.1853892988045</v>
      </c>
      <c r="H2" s="1" t="n">
        <v>0.07</v>
      </c>
      <c r="I2" s="1" t="n">
        <v>0.55</v>
      </c>
      <c r="J2" s="1" t="n">
        <f aca="false">LN(D2/I2)/H2</f>
        <v>25.9290555896747</v>
      </c>
      <c r="K2" s="1" t="n">
        <v>0.05</v>
      </c>
      <c r="L2" s="1" t="n">
        <v>0.5</v>
      </c>
      <c r="M2" s="1" t="n">
        <f aca="false">LN(D2/L2)/K2</f>
        <v>38.2068814216311</v>
      </c>
    </row>
    <row r="3" customFormat="false" ht="12.8" hidden="false" customHeight="false" outlineLevel="0" collapsed="false">
      <c r="A3" s="4" t="s">
        <v>13</v>
      </c>
      <c r="B3" s="5" t="n">
        <v>686.05</v>
      </c>
      <c r="C3" s="6" t="n">
        <f aca="false">B3/3.2808</f>
        <v>209.110582784687</v>
      </c>
      <c r="D3" s="6" t="n">
        <v>3.32132203023</v>
      </c>
      <c r="E3" s="1" t="n">
        <v>0.06</v>
      </c>
      <c r="F3" s="1" t="n">
        <v>0.52</v>
      </c>
      <c r="G3" s="1" t="n">
        <f aca="false">LN(D3/F3)/E3</f>
        <v>30.904822882504</v>
      </c>
      <c r="H3" s="1" t="n">
        <v>0.07</v>
      </c>
      <c r="I3" s="1" t="n">
        <v>0.55</v>
      </c>
      <c r="J3" s="1" t="n">
        <f aca="false">LN(D3/I3)/H3</f>
        <v>25.6885700899885</v>
      </c>
      <c r="K3" s="1" t="n">
        <v>0.05</v>
      </c>
      <c r="L3" s="1" t="n">
        <v>0.5</v>
      </c>
      <c r="M3" s="1" t="n">
        <f aca="false">LN(D3/L3)/K3</f>
        <v>37.8702017220704</v>
      </c>
    </row>
    <row r="4" customFormat="false" ht="12.8" hidden="false" customHeight="false" outlineLevel="0" collapsed="false">
      <c r="A4" s="4" t="s">
        <v>13</v>
      </c>
      <c r="B4" s="5" t="n">
        <v>679.55</v>
      </c>
      <c r="C4" s="6" t="n">
        <f aca="false">B4/3.2808</f>
        <v>207.129358693002</v>
      </c>
      <c r="D4" s="6" t="n">
        <v>3.77293722597061</v>
      </c>
      <c r="E4" s="1" t="n">
        <v>0.06</v>
      </c>
      <c r="F4" s="1" t="n">
        <v>0.52</v>
      </c>
      <c r="G4" s="1" t="n">
        <f aca="false">LN(D4/F4)/E4</f>
        <v>33.0296711758966</v>
      </c>
      <c r="H4" s="1" t="n">
        <v>0.07</v>
      </c>
      <c r="I4" s="1" t="n">
        <v>0.55</v>
      </c>
      <c r="J4" s="1" t="n">
        <f aca="false">LN(D4/I4)/H4</f>
        <v>27.5098686271822</v>
      </c>
      <c r="K4" s="1" t="n">
        <v>0.05</v>
      </c>
      <c r="L4" s="1" t="n">
        <v>0.5</v>
      </c>
      <c r="M4" s="1" t="n">
        <f aca="false">LN(D4/L4)/K4</f>
        <v>40.4200196741416</v>
      </c>
    </row>
    <row r="5" customFormat="false" ht="12.8" hidden="false" customHeight="false" outlineLevel="0" collapsed="false">
      <c r="A5" s="4" t="s">
        <v>13</v>
      </c>
      <c r="B5" s="5" t="n">
        <v>675.3</v>
      </c>
      <c r="C5" s="6" t="n">
        <f aca="false">B5/3.2808</f>
        <v>205.833942940746</v>
      </c>
      <c r="D5" s="6" t="n">
        <v>3.80168242018434</v>
      </c>
      <c r="E5" s="1" t="n">
        <v>0.06</v>
      </c>
      <c r="F5" s="1" t="n">
        <v>0.52</v>
      </c>
      <c r="G5" s="1" t="n">
        <f aca="false">LN(D5/F5)/E5</f>
        <v>33.1561696385231</v>
      </c>
      <c r="H5" s="1" t="n">
        <v>0.07</v>
      </c>
      <c r="I5" s="1" t="n">
        <v>0.55</v>
      </c>
      <c r="J5" s="1" t="n">
        <f aca="false">LN(D5/I5)/H5</f>
        <v>27.6182958808621</v>
      </c>
      <c r="K5" s="1" t="n">
        <v>0.05</v>
      </c>
      <c r="L5" s="1" t="n">
        <v>0.5</v>
      </c>
      <c r="M5" s="1" t="n">
        <f aca="false">LN(D5/L5)/K5</f>
        <v>40.5718178292934</v>
      </c>
    </row>
    <row r="6" customFormat="false" ht="12.8" hidden="false" customHeight="false" outlineLevel="0" collapsed="false">
      <c r="A6" s="4" t="s">
        <v>13</v>
      </c>
      <c r="B6" s="5" t="n">
        <v>673.05</v>
      </c>
      <c r="C6" s="6" t="n">
        <f aca="false">B6/3.2808</f>
        <v>205.148134601317</v>
      </c>
      <c r="D6" s="6" t="n">
        <v>3.15511358720585</v>
      </c>
      <c r="E6" s="1" t="n">
        <v>0.06</v>
      </c>
      <c r="F6" s="1" t="n">
        <v>0.52</v>
      </c>
      <c r="G6" s="1" t="n">
        <f aca="false">LN(D6/F6)/E6</f>
        <v>30.0491827505953</v>
      </c>
      <c r="H6" s="1" t="n">
        <v>0.07</v>
      </c>
      <c r="I6" s="1" t="n">
        <v>0.55</v>
      </c>
      <c r="J6" s="1" t="n">
        <f aca="false">LN(D6/I6)/H6</f>
        <v>24.9551642626382</v>
      </c>
      <c r="K6" s="1" t="n">
        <v>0.05</v>
      </c>
      <c r="L6" s="1" t="n">
        <v>0.5</v>
      </c>
      <c r="M6" s="1" t="n">
        <f aca="false">LN(D6/L6)/K6</f>
        <v>36.84343356378</v>
      </c>
    </row>
    <row r="7" customFormat="false" ht="12.8" hidden="false" customHeight="false" outlineLevel="0" collapsed="false">
      <c r="A7" s="4" t="s">
        <v>13</v>
      </c>
      <c r="B7" s="5" t="n">
        <v>671.35</v>
      </c>
      <c r="C7" s="6" t="n">
        <f aca="false">B7/3.2808</f>
        <v>204.629968300415</v>
      </c>
      <c r="D7" s="6" t="n">
        <v>3.47852709871862</v>
      </c>
      <c r="E7" s="1" t="n">
        <v>0.06</v>
      </c>
      <c r="F7" s="1" t="n">
        <v>0.52</v>
      </c>
      <c r="G7" s="1" t="n">
        <f aca="false">LN(D7/F7)/E7</f>
        <v>31.6755904017316</v>
      </c>
      <c r="H7" s="1" t="n">
        <v>0.07</v>
      </c>
      <c r="I7" s="1" t="n">
        <v>0.55</v>
      </c>
      <c r="J7" s="1" t="n">
        <f aca="false">LN(D7/I7)/H7</f>
        <v>26.3492279636122</v>
      </c>
      <c r="K7" s="1" t="n">
        <v>0.05</v>
      </c>
      <c r="L7" s="1" t="n">
        <v>0.5</v>
      </c>
      <c r="M7" s="1" t="n">
        <f aca="false">LN(D7/L7)/K7</f>
        <v>38.7951227451435</v>
      </c>
    </row>
    <row r="8" customFormat="false" ht="12.8" hidden="false" customHeight="false" outlineLevel="0" collapsed="false">
      <c r="A8" s="4" t="s">
        <v>13</v>
      </c>
      <c r="B8" s="5" t="n">
        <v>663.05</v>
      </c>
      <c r="C8" s="6" t="n">
        <f aca="false">B8/3.2808</f>
        <v>202.100097537186</v>
      </c>
      <c r="D8" s="6" t="n">
        <v>4.81715464394159</v>
      </c>
      <c r="E8" s="1" t="n">
        <v>0.06</v>
      </c>
      <c r="F8" s="1" t="n">
        <v>0.52</v>
      </c>
      <c r="G8" s="1" t="n">
        <f aca="false">LN(D8/F8)/E8</f>
        <v>37.1018316387725</v>
      </c>
      <c r="H8" s="1" t="n">
        <v>0.07</v>
      </c>
      <c r="I8" s="1" t="n">
        <v>0.55</v>
      </c>
      <c r="J8" s="1" t="n">
        <f aca="false">LN(D8/I8)/H8</f>
        <v>31.0002918810758</v>
      </c>
      <c r="K8" s="1" t="n">
        <v>0.05</v>
      </c>
      <c r="L8" s="1" t="n">
        <v>0.5</v>
      </c>
      <c r="M8" s="1" t="n">
        <f aca="false">LN(D8/L8)/K8</f>
        <v>45.3066122295927</v>
      </c>
    </row>
    <row r="9" customFormat="false" ht="12.8" hidden="false" customHeight="false" outlineLevel="0" collapsed="false">
      <c r="A9" s="4" t="s">
        <v>13</v>
      </c>
      <c r="B9" s="5" t="n">
        <v>659.8</v>
      </c>
      <c r="C9" s="6" t="n">
        <f aca="false">B9/3.2808</f>
        <v>201.109485491344</v>
      </c>
      <c r="D9" s="6" t="n">
        <v>4.49456291223059</v>
      </c>
      <c r="E9" s="1" t="n">
        <v>0.06</v>
      </c>
      <c r="F9" s="1" t="n">
        <v>0.52</v>
      </c>
      <c r="G9" s="1" t="n">
        <f aca="false">LN(D9/F9)/E9</f>
        <v>35.9465815323981</v>
      </c>
      <c r="H9" s="1" t="n">
        <v>0.07</v>
      </c>
      <c r="I9" s="1" t="n">
        <v>0.55</v>
      </c>
      <c r="J9" s="1" t="n">
        <f aca="false">LN(D9/I9)/H9</f>
        <v>30.0100775041834</v>
      </c>
      <c r="K9" s="1" t="n">
        <v>0.05</v>
      </c>
      <c r="L9" s="1" t="n">
        <v>0.5</v>
      </c>
      <c r="M9" s="1" t="n">
        <f aca="false">LN(D9/L9)/K9</f>
        <v>43.9203121019433</v>
      </c>
    </row>
    <row r="10" customFormat="false" ht="12.8" hidden="false" customHeight="false" outlineLevel="0" collapsed="false">
      <c r="A10" s="4" t="s">
        <v>13</v>
      </c>
      <c r="B10" s="5" t="n">
        <v>655.8</v>
      </c>
      <c r="C10" s="6" t="n">
        <f aca="false">B10/3.2808</f>
        <v>199.890270665691</v>
      </c>
      <c r="D10" s="6" t="n">
        <v>4.52679011590695</v>
      </c>
      <c r="E10" s="1" t="n">
        <v>0.06</v>
      </c>
      <c r="F10" s="1" t="n">
        <v>0.52</v>
      </c>
      <c r="G10" s="1" t="n">
        <f aca="false">LN(D10/F10)/E10</f>
        <v>36.0656595342089</v>
      </c>
      <c r="H10" s="1" t="n">
        <v>0.07</v>
      </c>
      <c r="I10" s="1" t="n">
        <v>0.55</v>
      </c>
      <c r="J10" s="1" t="n">
        <f aca="false">LN(D10/I10)/H10</f>
        <v>30.1121443628784</v>
      </c>
      <c r="K10" s="1" t="n">
        <v>0.05</v>
      </c>
      <c r="L10" s="1" t="n">
        <v>0.5</v>
      </c>
      <c r="M10" s="1" t="n">
        <f aca="false">LN(D10/L10)/K10</f>
        <v>44.0632057041163</v>
      </c>
    </row>
    <row r="11" customFormat="false" ht="12.8" hidden="false" customHeight="false" outlineLevel="0" collapsed="false">
      <c r="A11" s="4" t="s">
        <v>13</v>
      </c>
      <c r="B11" s="5" t="n">
        <v>654.3</v>
      </c>
      <c r="C11" s="6" t="n">
        <f aca="false">B11/3.2808</f>
        <v>199.433065106072</v>
      </c>
      <c r="D11" s="6" t="n">
        <v>4.63952062909654</v>
      </c>
      <c r="E11" s="1" t="n">
        <v>0.06</v>
      </c>
      <c r="F11" s="1" t="n">
        <v>0.52</v>
      </c>
      <c r="G11" s="1" t="n">
        <f aca="false">LN(D11/F11)/E11</f>
        <v>36.4756252602165</v>
      </c>
      <c r="H11" s="1" t="n">
        <v>0.07</v>
      </c>
      <c r="I11" s="1" t="n">
        <v>0.55</v>
      </c>
      <c r="J11" s="1" t="n">
        <f aca="false">LN(D11/I11)/H11</f>
        <v>30.4635435565993</v>
      </c>
      <c r="K11" s="1" t="n">
        <v>0.05</v>
      </c>
      <c r="L11" s="1" t="n">
        <v>0.5</v>
      </c>
      <c r="M11" s="1" t="n">
        <f aca="false">LN(D11/L11)/K11</f>
        <v>44.5551645753255</v>
      </c>
    </row>
    <row r="12" customFormat="false" ht="12.8" hidden="false" customHeight="false" outlineLevel="0" collapsed="false">
      <c r="A12" s="4" t="s">
        <v>13</v>
      </c>
      <c r="B12" s="5" t="n">
        <v>653.3</v>
      </c>
      <c r="C12" s="6" t="n">
        <f aca="false">B12/3.2808</f>
        <v>199.128261399659</v>
      </c>
      <c r="D12" s="6" t="n">
        <v>4.24366142677953</v>
      </c>
      <c r="E12" s="1" t="n">
        <v>0.06</v>
      </c>
      <c r="F12" s="1" t="n">
        <v>0.52</v>
      </c>
      <c r="G12" s="1" t="n">
        <f aca="false">LN(D12/F12)/E12</f>
        <v>34.9892151343775</v>
      </c>
      <c r="H12" s="1" t="n">
        <v>0.07</v>
      </c>
      <c r="I12" s="1" t="n">
        <v>0.55</v>
      </c>
      <c r="J12" s="1" t="n">
        <f aca="false">LN(D12/I12)/H12</f>
        <v>29.1894777344516</v>
      </c>
      <c r="K12" s="1" t="n">
        <v>0.05</v>
      </c>
      <c r="L12" s="1" t="n">
        <v>0.5</v>
      </c>
      <c r="M12" s="1" t="n">
        <f aca="false">LN(D12/L12)/K12</f>
        <v>42.7714724243187</v>
      </c>
    </row>
    <row r="13" customFormat="false" ht="12.8" hidden="false" customHeight="false" outlineLevel="0" collapsed="false">
      <c r="A13" s="4" t="s">
        <v>13</v>
      </c>
      <c r="B13" s="5" t="n">
        <v>652.3</v>
      </c>
      <c r="C13" s="6" t="n">
        <f aca="false">B13/3.2808</f>
        <v>198.823457693246</v>
      </c>
      <c r="D13" s="6" t="n">
        <v>4.37449197864375</v>
      </c>
      <c r="E13" s="1" t="n">
        <v>0.06</v>
      </c>
      <c r="F13" s="1" t="n">
        <v>0.52</v>
      </c>
      <c r="G13" s="1" t="n">
        <f aca="false">LN(D13/F13)/E13</f>
        <v>35.4952810217791</v>
      </c>
      <c r="H13" s="1" t="n">
        <v>0.07</v>
      </c>
      <c r="I13" s="1" t="n">
        <v>0.55</v>
      </c>
      <c r="J13" s="1" t="n">
        <f aca="false">LN(D13/I13)/H13</f>
        <v>29.6232484950815</v>
      </c>
      <c r="K13" s="1" t="n">
        <v>0.05</v>
      </c>
      <c r="L13" s="1" t="n">
        <v>0.5</v>
      </c>
      <c r="M13" s="1" t="n">
        <f aca="false">LN(D13/L13)/K13</f>
        <v>43.3787514892006</v>
      </c>
    </row>
    <row r="14" customFormat="false" ht="12.8" hidden="false" customHeight="false" outlineLevel="0" collapsed="false">
      <c r="A14" s="4" t="s">
        <v>13</v>
      </c>
      <c r="B14" s="5" t="n">
        <v>645.55</v>
      </c>
      <c r="C14" s="6" t="n">
        <f aca="false">B14/3.2808</f>
        <v>196.766032674957</v>
      </c>
      <c r="D14" s="6" t="n">
        <v>4.59368079324879</v>
      </c>
      <c r="E14" s="1" t="n">
        <v>0.06</v>
      </c>
      <c r="F14" s="1" t="n">
        <v>0.52</v>
      </c>
      <c r="G14" s="1" t="n">
        <f aca="false">LN(D14/F14)/E14</f>
        <v>36.3101347642827</v>
      </c>
      <c r="H14" s="1" t="n">
        <v>0.07</v>
      </c>
      <c r="I14" s="1" t="n">
        <v>0.55</v>
      </c>
      <c r="J14" s="1" t="n">
        <f aca="false">LN(D14/I14)/H14</f>
        <v>30.3216945600845</v>
      </c>
      <c r="K14" s="1" t="n">
        <v>0.05</v>
      </c>
      <c r="L14" s="1" t="n">
        <v>0.5</v>
      </c>
      <c r="M14" s="1" t="n">
        <f aca="false">LN(D14/L14)/K14</f>
        <v>44.3565759802048</v>
      </c>
    </row>
    <row r="15" customFormat="false" ht="12.8" hidden="false" customHeight="false" outlineLevel="0" collapsed="false">
      <c r="A15" s="4" t="s">
        <v>13</v>
      </c>
      <c r="B15" s="5" t="n">
        <v>631.75</v>
      </c>
      <c r="C15" s="6" t="n">
        <f aca="false">B15/3.2808</f>
        <v>192.559741526457</v>
      </c>
      <c r="D15" s="6" t="n">
        <v>4.09371228995758</v>
      </c>
      <c r="E15" s="1" t="n">
        <v>0.06</v>
      </c>
      <c r="F15" s="1" t="n">
        <v>0.52</v>
      </c>
      <c r="G15" s="1" t="n">
        <f aca="false">LN(D15/F15)/E15</f>
        <v>34.3896446025374</v>
      </c>
      <c r="H15" s="1" t="n">
        <v>0.07</v>
      </c>
      <c r="I15" s="1" t="n">
        <v>0.55</v>
      </c>
      <c r="J15" s="1" t="n">
        <f aca="false">LN(D15/I15)/H15</f>
        <v>28.6755601357315</v>
      </c>
      <c r="K15" s="1" t="n">
        <v>0.05</v>
      </c>
      <c r="L15" s="1" t="n">
        <v>0.5</v>
      </c>
      <c r="M15" s="1" t="n">
        <f aca="false">LN(D15/L15)/K15</f>
        <v>42.0519877861105</v>
      </c>
    </row>
    <row r="16" customFormat="false" ht="12.8" hidden="false" customHeight="false" outlineLevel="0" collapsed="false">
      <c r="A16" s="4" t="s">
        <v>13</v>
      </c>
      <c r="B16" s="5" t="n">
        <v>624.45</v>
      </c>
      <c r="C16" s="6" t="n">
        <f aca="false">B16/3.2808</f>
        <v>190.334674469642</v>
      </c>
      <c r="D16" s="6" t="n">
        <v>3.80276117485422</v>
      </c>
      <c r="E16" s="1" t="n">
        <v>0.06</v>
      </c>
      <c r="F16" s="1" t="n">
        <v>0.52</v>
      </c>
      <c r="G16" s="1" t="n">
        <f aca="false">LN(D16/F16)/E16</f>
        <v>33.1608982539423</v>
      </c>
      <c r="H16" s="1" t="n">
        <v>0.07</v>
      </c>
      <c r="I16" s="1" t="n">
        <v>0.55</v>
      </c>
      <c r="J16" s="1" t="n">
        <f aca="false">LN(D16/I16)/H16</f>
        <v>27.6223489797927</v>
      </c>
      <c r="K16" s="1" t="n">
        <v>0.05</v>
      </c>
      <c r="L16" s="1" t="n">
        <v>0.5</v>
      </c>
      <c r="M16" s="1" t="n">
        <f aca="false">LN(D16/L16)/K16</f>
        <v>40.5774921677963</v>
      </c>
    </row>
    <row r="17" customFormat="false" ht="12.8" hidden="false" customHeight="false" outlineLevel="0" collapsed="false">
      <c r="A17" s="4" t="s">
        <v>13</v>
      </c>
      <c r="B17" s="5" t="n">
        <v>618.8</v>
      </c>
      <c r="C17" s="6" t="n">
        <f aca="false">B17/3.2808</f>
        <v>188.612533528408</v>
      </c>
      <c r="D17" s="6" t="n">
        <v>3.34430466032453</v>
      </c>
      <c r="E17" s="1" t="n">
        <v>0.06</v>
      </c>
      <c r="F17" s="1" t="n">
        <v>0.52</v>
      </c>
      <c r="G17" s="1" t="n">
        <f aca="false">LN(D17/F17)/E17</f>
        <v>31.0197544172591</v>
      </c>
      <c r="H17" s="1" t="n">
        <v>0.07</v>
      </c>
      <c r="I17" s="1" t="n">
        <v>0.55</v>
      </c>
      <c r="J17" s="1" t="n">
        <f aca="false">LN(D17/I17)/H17</f>
        <v>25.7870828340643</v>
      </c>
      <c r="K17" s="1" t="n">
        <v>0.05</v>
      </c>
      <c r="L17" s="1" t="n">
        <v>0.5</v>
      </c>
      <c r="M17" s="1" t="n">
        <f aca="false">LN(D17/L17)/K17</f>
        <v>38.0081195637766</v>
      </c>
    </row>
    <row r="18" customFormat="false" ht="12.8" hidden="false" customHeight="false" outlineLevel="0" collapsed="false">
      <c r="A18" s="4" t="s">
        <v>13</v>
      </c>
      <c r="B18" s="5" t="n">
        <v>615.65</v>
      </c>
      <c r="C18" s="6" t="n">
        <f aca="false">B18/3.2808</f>
        <v>187.652401853207</v>
      </c>
      <c r="D18" s="6" t="n">
        <v>3.99819429417759</v>
      </c>
      <c r="E18" s="1" t="n">
        <v>0.06</v>
      </c>
      <c r="F18" s="1" t="n">
        <v>0.52</v>
      </c>
      <c r="G18" s="1" t="n">
        <f aca="false">LN(D18/F18)/E18</f>
        <v>33.9961550024559</v>
      </c>
      <c r="H18" s="1" t="n">
        <v>0.07</v>
      </c>
      <c r="I18" s="1" t="n">
        <v>0.55</v>
      </c>
      <c r="J18" s="1" t="n">
        <f aca="false">LN(D18/I18)/H18</f>
        <v>28.3382833356616</v>
      </c>
      <c r="K18" s="1" t="n">
        <v>0.05</v>
      </c>
      <c r="L18" s="1" t="n">
        <v>0.5</v>
      </c>
      <c r="M18" s="1" t="n">
        <f aca="false">LN(D18/L18)/K18</f>
        <v>41.5798002660127</v>
      </c>
    </row>
    <row r="19" customFormat="false" ht="12.8" hidden="false" customHeight="false" outlineLevel="0" collapsed="false">
      <c r="A19" s="4" t="s">
        <v>13</v>
      </c>
      <c r="B19" s="5" t="n">
        <v>609.9</v>
      </c>
      <c r="C19" s="6" t="n">
        <f aca="false">B19/3.2808</f>
        <v>185.899780541331</v>
      </c>
      <c r="D19" s="6" t="n">
        <v>3.62902502104679</v>
      </c>
      <c r="E19" s="1" t="n">
        <v>0.06</v>
      </c>
      <c r="F19" s="1" t="n">
        <v>0.52</v>
      </c>
      <c r="G19" s="1" t="n">
        <f aca="false">LN(D19/F19)/E19</f>
        <v>32.3815081727261</v>
      </c>
      <c r="H19" s="1" t="n">
        <v>0.07</v>
      </c>
      <c r="I19" s="1" t="n">
        <v>0.55</v>
      </c>
      <c r="J19" s="1" t="n">
        <f aca="false">LN(D19/I19)/H19</f>
        <v>26.9543003387503</v>
      </c>
      <c r="K19" s="1" t="n">
        <v>0.05</v>
      </c>
      <c r="L19" s="1" t="n">
        <v>0.5</v>
      </c>
      <c r="M19" s="1" t="n">
        <f aca="false">LN(D19/L19)/K19</f>
        <v>39.6422240703369</v>
      </c>
    </row>
    <row r="20" customFormat="false" ht="12.8" hidden="false" customHeight="false" outlineLevel="0" collapsed="false">
      <c r="A20" s="4" t="s">
        <v>13</v>
      </c>
      <c r="B20" s="5" t="n">
        <v>599.2</v>
      </c>
      <c r="C20" s="6" t="n">
        <f aca="false">B20/3.2808</f>
        <v>182.638380882712</v>
      </c>
      <c r="D20" s="6" t="n">
        <v>3.65536466739638</v>
      </c>
      <c r="E20" s="1" t="n">
        <v>0.06</v>
      </c>
      <c r="F20" s="1" t="n">
        <v>0.52</v>
      </c>
      <c r="G20" s="1" t="n">
        <f aca="false">LN(D20/F20)/E20</f>
        <v>32.502038797216</v>
      </c>
      <c r="H20" s="1" t="n">
        <v>0.07</v>
      </c>
      <c r="I20" s="1" t="n">
        <v>0.55</v>
      </c>
      <c r="J20" s="1" t="n">
        <f aca="false">LN(D20/I20)/H20</f>
        <v>27.0576123025988</v>
      </c>
      <c r="K20" s="1" t="n">
        <v>0.05</v>
      </c>
      <c r="L20" s="1" t="n">
        <v>0.5</v>
      </c>
      <c r="M20" s="1" t="n">
        <f aca="false">LN(D20/L20)/K20</f>
        <v>39.7868608197249</v>
      </c>
    </row>
    <row r="21" customFormat="false" ht="12.8" hidden="false" customHeight="false" outlineLevel="0" collapsed="false">
      <c r="A21" s="7" t="s">
        <v>14</v>
      </c>
      <c r="B21" s="8" t="n">
        <v>689.05</v>
      </c>
      <c r="C21" s="6" t="n">
        <f aca="false">B21/3.2808</f>
        <v>210.024993903926</v>
      </c>
      <c r="D21" s="9" t="n">
        <v>3.32952951737338</v>
      </c>
      <c r="E21" s="1" t="n">
        <v>0.06</v>
      </c>
      <c r="F21" s="1" t="n">
        <v>0.52</v>
      </c>
      <c r="G21" s="1" t="n">
        <f aca="false">LN(D21/F21)/E21</f>
        <v>30.9459579223857</v>
      </c>
      <c r="H21" s="1" t="n">
        <v>0.07</v>
      </c>
      <c r="I21" s="1" t="n">
        <v>0.55</v>
      </c>
      <c r="J21" s="1" t="n">
        <f aca="false">LN(D21/I21)/H21</f>
        <v>25.7238286956014</v>
      </c>
      <c r="K21" s="1" t="n">
        <v>0.05</v>
      </c>
      <c r="L21" s="1" t="n">
        <v>0.5</v>
      </c>
      <c r="M21" s="1" t="n">
        <f aca="false">LN(D21/L21)/K21</f>
        <v>37.9195637699284</v>
      </c>
    </row>
    <row r="22" customFormat="false" ht="12.8" hidden="false" customHeight="false" outlineLevel="0" collapsed="false">
      <c r="A22" s="7" t="s">
        <v>14</v>
      </c>
      <c r="B22" s="8" t="n">
        <v>686.05</v>
      </c>
      <c r="C22" s="6" t="n">
        <f aca="false">B22/3.2808</f>
        <v>209.110582784687</v>
      </c>
      <c r="D22" s="9" t="n">
        <v>3.33728323938866</v>
      </c>
      <c r="E22" s="1" t="n">
        <v>0.06</v>
      </c>
      <c r="F22" s="1" t="n">
        <v>0.52</v>
      </c>
      <c r="G22" s="1" t="n">
        <f aca="false">LN(D22/F22)/E22</f>
        <v>30.9847257004039</v>
      </c>
      <c r="H22" s="1" t="n">
        <v>0.07</v>
      </c>
      <c r="I22" s="1" t="n">
        <v>0.55</v>
      </c>
      <c r="J22" s="1" t="n">
        <f aca="false">LN(D22/I22)/H22</f>
        <v>25.757058219617</v>
      </c>
      <c r="K22" s="1" t="n">
        <v>0.05</v>
      </c>
      <c r="L22" s="1" t="n">
        <v>0.5</v>
      </c>
      <c r="M22" s="1" t="n">
        <f aca="false">LN(D22/L22)/K22</f>
        <v>37.9660851035503</v>
      </c>
    </row>
    <row r="23" customFormat="false" ht="12.8" hidden="false" customHeight="false" outlineLevel="0" collapsed="false">
      <c r="A23" s="7" t="s">
        <v>14</v>
      </c>
      <c r="B23" s="8" t="n">
        <v>679.55</v>
      </c>
      <c r="C23" s="6" t="n">
        <f aca="false">B23/3.2808</f>
        <v>207.129358693002</v>
      </c>
      <c r="D23" s="9" t="n">
        <v>3.51496415665291</v>
      </c>
      <c r="E23" s="1" t="n">
        <v>0.06</v>
      </c>
      <c r="F23" s="1" t="n">
        <v>0.52</v>
      </c>
      <c r="G23" s="1" t="n">
        <f aca="false">LN(D23/F23)/E23</f>
        <v>31.8492632560584</v>
      </c>
      <c r="H23" s="1" t="n">
        <v>0.07</v>
      </c>
      <c r="I23" s="1" t="n">
        <v>0.55</v>
      </c>
      <c r="J23" s="1" t="n">
        <f aca="false">LN(D23/I23)/H23</f>
        <v>26.498090410178</v>
      </c>
      <c r="K23" s="1" t="n">
        <v>0.05</v>
      </c>
      <c r="L23" s="1" t="n">
        <v>0.5</v>
      </c>
      <c r="M23" s="1" t="n">
        <f aca="false">LN(D23/L23)/K23</f>
        <v>39.0035301703357</v>
      </c>
    </row>
    <row r="24" customFormat="false" ht="12.8" hidden="false" customHeight="false" outlineLevel="0" collapsed="false">
      <c r="A24" s="7" t="s">
        <v>14</v>
      </c>
      <c r="B24" s="8" t="n">
        <v>675.3</v>
      </c>
      <c r="C24" s="6" t="n">
        <f aca="false">B24/3.2808</f>
        <v>205.833942940746</v>
      </c>
      <c r="D24" s="9" t="n">
        <v>3.92719600532461</v>
      </c>
      <c r="E24" s="1" t="n">
        <v>0.06</v>
      </c>
      <c r="F24" s="1" t="n">
        <v>0.52</v>
      </c>
      <c r="G24" s="1" t="n">
        <f aca="false">LN(D24/F24)/E24</f>
        <v>33.6975358997717</v>
      </c>
      <c r="H24" s="1" t="n">
        <v>0.07</v>
      </c>
      <c r="I24" s="1" t="n">
        <v>0.55</v>
      </c>
      <c r="J24" s="1" t="n">
        <f aca="false">LN(D24/I24)/H24</f>
        <v>28.0823241047894</v>
      </c>
      <c r="K24" s="1" t="n">
        <v>0.05</v>
      </c>
      <c r="L24" s="1" t="n">
        <v>0.5</v>
      </c>
      <c r="M24" s="1" t="n">
        <f aca="false">LN(D24/L24)/K24</f>
        <v>41.2214573427916</v>
      </c>
    </row>
    <row r="25" customFormat="false" ht="12.8" hidden="false" customHeight="false" outlineLevel="0" collapsed="false">
      <c r="A25" s="7" t="s">
        <v>14</v>
      </c>
      <c r="B25" s="8" t="n">
        <v>673.05</v>
      </c>
      <c r="C25" s="6" t="n">
        <f aca="false">B25/3.2808</f>
        <v>205.148134601317</v>
      </c>
      <c r="D25" s="9" t="n">
        <v>3.10214616402007</v>
      </c>
      <c r="E25" s="1" t="n">
        <v>0.06</v>
      </c>
      <c r="F25" s="1" t="n">
        <v>0.52</v>
      </c>
      <c r="G25" s="1" t="n">
        <f aca="false">LN(D25/F25)/E25</f>
        <v>29.7670108389214</v>
      </c>
      <c r="H25" s="1" t="n">
        <v>0.07</v>
      </c>
      <c r="I25" s="1" t="n">
        <v>0.55</v>
      </c>
      <c r="J25" s="1" t="n">
        <f aca="false">LN(D25/I25)/H25</f>
        <v>24.7133026240606</v>
      </c>
      <c r="K25" s="1" t="n">
        <v>0.05</v>
      </c>
      <c r="L25" s="1" t="n">
        <v>0.5</v>
      </c>
      <c r="M25" s="1" t="n">
        <f aca="false">LN(D25/L25)/K25</f>
        <v>36.5048272697714</v>
      </c>
    </row>
    <row r="26" customFormat="false" ht="12.8" hidden="false" customHeight="false" outlineLevel="0" collapsed="false">
      <c r="A26" s="7" t="s">
        <v>14</v>
      </c>
      <c r="B26" s="8" t="n">
        <v>672.05</v>
      </c>
      <c r="C26" s="6" t="n">
        <f aca="false">B26/3.2808</f>
        <v>204.843330894904</v>
      </c>
      <c r="D26" s="9" t="n">
        <v>3.60362432556304</v>
      </c>
      <c r="E26" s="1" t="n">
        <v>0.06</v>
      </c>
      <c r="F26" s="1" t="n">
        <v>0.52</v>
      </c>
      <c r="G26" s="1" t="n">
        <f aca="false">LN(D26/F26)/E26</f>
        <v>32.2644427254921</v>
      </c>
      <c r="H26" s="1" t="n">
        <v>0.07</v>
      </c>
      <c r="I26" s="1" t="n">
        <v>0.55</v>
      </c>
      <c r="J26" s="1" t="n">
        <f aca="false">LN(D26/I26)/H26</f>
        <v>26.8539585268354</v>
      </c>
      <c r="K26" s="1" t="n">
        <v>0.05</v>
      </c>
      <c r="L26" s="1" t="n">
        <v>0.5</v>
      </c>
      <c r="M26" s="1" t="n">
        <f aca="false">LN(D26/L26)/K26</f>
        <v>39.5017455336561</v>
      </c>
    </row>
    <row r="27" customFormat="false" ht="12.8" hidden="false" customHeight="false" outlineLevel="0" collapsed="false">
      <c r="A27" s="7" t="s">
        <v>14</v>
      </c>
      <c r="B27" s="8" t="n">
        <v>663.55</v>
      </c>
      <c r="C27" s="6" t="n">
        <f aca="false">B27/3.2808</f>
        <v>202.252499390393</v>
      </c>
      <c r="D27" s="9" t="n">
        <v>4.21742361136203</v>
      </c>
      <c r="E27" s="1" t="n">
        <v>0.06</v>
      </c>
      <c r="F27" s="1" t="n">
        <v>0.52</v>
      </c>
      <c r="G27" s="1" t="n">
        <f aca="false">LN(D27/F27)/E27</f>
        <v>34.8858481729601</v>
      </c>
      <c r="H27" s="1" t="n">
        <v>0.07</v>
      </c>
      <c r="I27" s="1" t="n">
        <v>0.55</v>
      </c>
      <c r="J27" s="1" t="n">
        <f aca="false">LN(D27/I27)/H27</f>
        <v>29.100877481808</v>
      </c>
      <c r="K27" s="1" t="n">
        <v>0.05</v>
      </c>
      <c r="L27" s="1" t="n">
        <v>0.5</v>
      </c>
      <c r="M27" s="1" t="n">
        <f aca="false">LN(D27/L27)/K27</f>
        <v>42.6474320706177</v>
      </c>
    </row>
    <row r="28" customFormat="false" ht="12.8" hidden="false" customHeight="false" outlineLevel="0" collapsed="false">
      <c r="A28" s="7" t="s">
        <v>14</v>
      </c>
      <c r="B28" s="8" t="n">
        <v>662.3</v>
      </c>
      <c r="C28" s="6" t="n">
        <f aca="false">B28/3.2808</f>
        <v>201.871494757376</v>
      </c>
      <c r="D28" s="9" t="n">
        <v>4.549971685095</v>
      </c>
      <c r="E28" s="1" t="n">
        <v>0.06</v>
      </c>
      <c r="F28" s="1" t="n">
        <v>0.52</v>
      </c>
      <c r="G28" s="1" t="n">
        <f aca="false">LN(D28/F28)/E28</f>
        <v>36.1507912882353</v>
      </c>
      <c r="H28" s="1" t="n">
        <v>0.07</v>
      </c>
      <c r="I28" s="1" t="n">
        <v>0.55</v>
      </c>
      <c r="J28" s="1" t="n">
        <f aca="false">LN(D28/I28)/H28</f>
        <v>30.1851144377582</v>
      </c>
      <c r="K28" s="1" t="n">
        <v>0.05</v>
      </c>
      <c r="L28" s="1" t="n">
        <v>0.5</v>
      </c>
      <c r="M28" s="1" t="n">
        <f aca="false">LN(D28/L28)/K28</f>
        <v>44.1653638089479</v>
      </c>
    </row>
    <row r="29" customFormat="false" ht="12.8" hidden="false" customHeight="false" outlineLevel="0" collapsed="false">
      <c r="A29" s="7" t="s">
        <v>14</v>
      </c>
      <c r="B29" s="8" t="n">
        <v>640.8</v>
      </c>
      <c r="C29" s="6" t="n">
        <f aca="false">B29/3.2808</f>
        <v>195.318215069495</v>
      </c>
      <c r="D29" s="9" t="n">
        <v>4.26436498945524</v>
      </c>
      <c r="E29" s="1" t="n">
        <v>0.06</v>
      </c>
      <c r="F29" s="1" t="n">
        <v>0.52</v>
      </c>
      <c r="G29" s="1" t="n">
        <f aca="false">LN(D29/F29)/E29</f>
        <v>35.0703291418196</v>
      </c>
      <c r="H29" s="1" t="n">
        <v>0.07</v>
      </c>
      <c r="I29" s="1" t="n">
        <v>0.55</v>
      </c>
      <c r="J29" s="1" t="n">
        <f aca="false">LN(D29/I29)/H29</f>
        <v>29.2590040265448</v>
      </c>
      <c r="K29" s="1" t="n">
        <v>0.05</v>
      </c>
      <c r="L29" s="1" t="n">
        <v>0.5</v>
      </c>
      <c r="M29" s="1" t="n">
        <f aca="false">LN(D29/L29)/K29</f>
        <v>42.8688092332492</v>
      </c>
    </row>
    <row r="30" customFormat="false" ht="12.8" hidden="false" customHeight="false" outlineLevel="0" collapsed="false">
      <c r="A30" s="7" t="s">
        <v>14</v>
      </c>
      <c r="B30" s="8" t="n">
        <v>639.05</v>
      </c>
      <c r="C30" s="6" t="n">
        <f aca="false">B30/3.2808</f>
        <v>194.784808583272</v>
      </c>
      <c r="D30" s="9" t="n">
        <v>4.24571087923649</v>
      </c>
      <c r="E30" s="1" t="n">
        <v>0.06</v>
      </c>
      <c r="F30" s="1" t="n">
        <v>0.52</v>
      </c>
      <c r="G30" s="1" t="n">
        <f aca="false">LN(D30/F30)/E30</f>
        <v>34.9972622644554</v>
      </c>
      <c r="H30" s="1" t="n">
        <v>0.07</v>
      </c>
      <c r="I30" s="1" t="n">
        <v>0.55</v>
      </c>
      <c r="J30" s="1" t="n">
        <f aca="false">LN(D30/I30)/H30</f>
        <v>29.1963752745183</v>
      </c>
      <c r="K30" s="1" t="n">
        <v>0.05</v>
      </c>
      <c r="L30" s="1" t="n">
        <v>0.5</v>
      </c>
      <c r="M30" s="1" t="n">
        <f aca="false">LN(D30/L30)/K30</f>
        <v>42.7811289804121</v>
      </c>
    </row>
    <row r="31" customFormat="false" ht="12.8" hidden="false" customHeight="false" outlineLevel="0" collapsed="false">
      <c r="A31" s="7" t="s">
        <v>14</v>
      </c>
      <c r="B31" s="8" t="n">
        <v>637.05</v>
      </c>
      <c r="C31" s="6" t="n">
        <f aca="false">B31/3.2808</f>
        <v>194.175201170446</v>
      </c>
      <c r="D31" s="9" t="n">
        <v>4.43718468026242</v>
      </c>
      <c r="E31" s="1" t="n">
        <v>0.06</v>
      </c>
      <c r="F31" s="1" t="n">
        <v>0.52</v>
      </c>
      <c r="G31" s="1" t="n">
        <f aca="false">LN(D31/F31)/E31</f>
        <v>35.7324426952405</v>
      </c>
      <c r="H31" s="1" t="n">
        <v>0.07</v>
      </c>
      <c r="I31" s="1" t="n">
        <v>0.55</v>
      </c>
      <c r="J31" s="1" t="n">
        <f aca="false">LN(D31/I31)/H31</f>
        <v>29.8265299294769</v>
      </c>
      <c r="K31" s="1" t="n">
        <v>0.05</v>
      </c>
      <c r="L31" s="1" t="n">
        <v>0.5</v>
      </c>
      <c r="M31" s="1" t="n">
        <f aca="false">LN(D31/L31)/K31</f>
        <v>43.6633454973542</v>
      </c>
    </row>
    <row r="32" customFormat="false" ht="12.8" hidden="false" customHeight="false" outlineLevel="0" collapsed="false">
      <c r="A32" s="7" t="s">
        <v>14</v>
      </c>
      <c r="B32" s="8" t="n">
        <v>632.55</v>
      </c>
      <c r="C32" s="6" t="n">
        <f aca="false">B32/3.2808</f>
        <v>192.803584491587</v>
      </c>
      <c r="D32" s="9" t="n">
        <v>4.04068246408255</v>
      </c>
      <c r="E32" s="1" t="n">
        <v>0.06</v>
      </c>
      <c r="F32" s="1" t="n">
        <v>0.52</v>
      </c>
      <c r="G32" s="1" t="n">
        <f aca="false">LN(D32/F32)/E32</f>
        <v>34.1723345311052</v>
      </c>
      <c r="H32" s="1" t="n">
        <v>0.07</v>
      </c>
      <c r="I32" s="1" t="n">
        <v>0.55</v>
      </c>
      <c r="J32" s="1" t="n">
        <f aca="false">LN(D32/I32)/H32</f>
        <v>28.4892943602181</v>
      </c>
      <c r="K32" s="1" t="n">
        <v>0.05</v>
      </c>
      <c r="L32" s="1" t="n">
        <v>0.5</v>
      </c>
      <c r="M32" s="1" t="n">
        <f aca="false">LN(D32/L32)/K32</f>
        <v>41.7912157003919</v>
      </c>
    </row>
    <row r="33" customFormat="false" ht="12.8" hidden="false" customHeight="false" outlineLevel="0" collapsed="false">
      <c r="A33" s="7" t="s">
        <v>14</v>
      </c>
      <c r="B33" s="8" t="n">
        <v>628.1</v>
      </c>
      <c r="C33" s="6" t="n">
        <f aca="false">B33/3.2808</f>
        <v>191.447207998049</v>
      </c>
      <c r="D33" s="9" t="n">
        <v>4.15798148951786</v>
      </c>
      <c r="E33" s="1" t="n">
        <v>0.06</v>
      </c>
      <c r="F33" s="1" t="n">
        <v>0.52</v>
      </c>
      <c r="G33" s="1" t="n">
        <f aca="false">LN(D33/F33)/E33</f>
        <v>34.6492700842862</v>
      </c>
      <c r="H33" s="1" t="n">
        <v>0.07</v>
      </c>
      <c r="I33" s="1" t="n">
        <v>0.55</v>
      </c>
      <c r="J33" s="1" t="n">
        <f aca="false">LN(D33/I33)/H33</f>
        <v>28.8980962629447</v>
      </c>
      <c r="K33" s="1" t="n">
        <v>0.05</v>
      </c>
      <c r="L33" s="1" t="n">
        <v>0.5</v>
      </c>
      <c r="M33" s="1" t="n">
        <f aca="false">LN(D33/L33)/K33</f>
        <v>42.363538364209</v>
      </c>
    </row>
    <row r="34" customFormat="false" ht="12.8" hidden="false" customHeight="false" outlineLevel="0" collapsed="false">
      <c r="A34" s="7" t="s">
        <v>14</v>
      </c>
      <c r="B34" s="8" t="n">
        <v>623.45</v>
      </c>
      <c r="C34" s="6" t="n">
        <f aca="false">B34/3.2808</f>
        <v>190.029870763228</v>
      </c>
      <c r="D34" s="9" t="n">
        <v>3.73427105157719</v>
      </c>
      <c r="E34" s="1" t="n">
        <v>0.06</v>
      </c>
      <c r="F34" s="1" t="n">
        <v>0.52</v>
      </c>
      <c r="G34" s="1" t="n">
        <f aca="false">LN(D34/F34)/E34</f>
        <v>32.8579850005028</v>
      </c>
      <c r="H34" s="1" t="n">
        <v>0.07</v>
      </c>
      <c r="I34" s="1" t="n">
        <v>0.55</v>
      </c>
      <c r="J34" s="1" t="n">
        <f aca="false">LN(D34/I34)/H34</f>
        <v>27.3627090482732</v>
      </c>
      <c r="K34" s="1" t="n">
        <v>0.05</v>
      </c>
      <c r="L34" s="1" t="n">
        <v>0.5</v>
      </c>
      <c r="M34" s="1" t="n">
        <f aca="false">LN(D34/L34)/K34</f>
        <v>40.213996263669</v>
      </c>
    </row>
    <row r="35" customFormat="false" ht="12.8" hidden="false" customHeight="false" outlineLevel="0" collapsed="false">
      <c r="A35" s="7" t="s">
        <v>14</v>
      </c>
      <c r="B35" s="8" t="n">
        <v>621.3</v>
      </c>
      <c r="C35" s="6" t="n">
        <f aca="false">B35/3.2808</f>
        <v>189.37454279444</v>
      </c>
      <c r="D35" s="9" t="n">
        <v>3.63158905746091</v>
      </c>
      <c r="E35" s="1" t="n">
        <v>0.06</v>
      </c>
      <c r="F35" s="1" t="n">
        <v>0.52</v>
      </c>
      <c r="G35" s="1" t="n">
        <f aca="false">LN(D35/F35)/E35</f>
        <v>32.3932796128687</v>
      </c>
      <c r="H35" s="1" t="n">
        <v>0.07</v>
      </c>
      <c r="I35" s="1" t="n">
        <v>0.55</v>
      </c>
      <c r="J35" s="1" t="n">
        <f aca="false">LN(D35/I35)/H35</f>
        <v>26.9643901445868</v>
      </c>
      <c r="K35" s="1" t="n">
        <v>0.05</v>
      </c>
      <c r="L35" s="1" t="n">
        <v>0.5</v>
      </c>
      <c r="M35" s="1" t="n">
        <f aca="false">LN(D35/L35)/K35</f>
        <v>39.656349798508</v>
      </c>
    </row>
    <row r="36" customFormat="false" ht="12.8" hidden="false" customHeight="false" outlineLevel="0" collapsed="false">
      <c r="A36" s="7" t="s">
        <v>14</v>
      </c>
      <c r="B36" s="8" t="n">
        <v>618.05</v>
      </c>
      <c r="C36" s="6" t="n">
        <f aca="false">B36/3.2808</f>
        <v>188.383930748598</v>
      </c>
      <c r="D36" s="9" t="n">
        <v>3.57875077812172</v>
      </c>
      <c r="E36" s="1" t="n">
        <v>0.06</v>
      </c>
      <c r="F36" s="1" t="n">
        <v>0.52</v>
      </c>
      <c r="G36" s="1" t="n">
        <f aca="false">LN(D36/F36)/E36</f>
        <v>32.1490043710864</v>
      </c>
      <c r="H36" s="1" t="n">
        <v>0.07</v>
      </c>
      <c r="I36" s="1" t="n">
        <v>0.55</v>
      </c>
      <c r="J36" s="1" t="n">
        <f aca="false">LN(D36/I36)/H36</f>
        <v>26.7550113659163</v>
      </c>
      <c r="K36" s="1" t="n">
        <v>0.05</v>
      </c>
      <c r="L36" s="1" t="n">
        <v>0.5</v>
      </c>
      <c r="M36" s="1" t="n">
        <f aca="false">LN(D36/L36)/K36</f>
        <v>39.3632195083693</v>
      </c>
    </row>
    <row r="37" customFormat="false" ht="12.8" hidden="false" customHeight="false" outlineLevel="0" collapsed="false">
      <c r="A37" s="7" t="s">
        <v>14</v>
      </c>
      <c r="B37" s="8" t="n">
        <v>613.75</v>
      </c>
      <c r="C37" s="6" t="n">
        <f aca="false">B37/3.2808</f>
        <v>187.073274811022</v>
      </c>
      <c r="D37" s="9" t="n">
        <v>3.70681557577653</v>
      </c>
      <c r="E37" s="1" t="n">
        <v>0.06</v>
      </c>
      <c r="F37" s="1" t="n">
        <v>0.52</v>
      </c>
      <c r="G37" s="1" t="n">
        <f aca="false">LN(D37/F37)/E37</f>
        <v>32.7349940012512</v>
      </c>
      <c r="H37" s="1" t="n">
        <v>0.07</v>
      </c>
      <c r="I37" s="1" t="n">
        <v>0.55</v>
      </c>
      <c r="J37" s="1" t="n">
        <f aca="false">LN(D37/I37)/H37</f>
        <v>27.2572881917718</v>
      </c>
      <c r="K37" s="1" t="n">
        <v>0.05</v>
      </c>
      <c r="L37" s="1" t="n">
        <v>0.5</v>
      </c>
      <c r="M37" s="1" t="n">
        <f aca="false">LN(D37/L37)/K37</f>
        <v>40.066407064567</v>
      </c>
    </row>
    <row r="38" customFormat="false" ht="12.8" hidden="false" customHeight="false" outlineLevel="0" collapsed="false">
      <c r="A38" s="7" t="s">
        <v>14</v>
      </c>
      <c r="B38" s="8" t="n">
        <v>599.2</v>
      </c>
      <c r="C38" s="6" t="n">
        <f aca="false">B38/3.2808</f>
        <v>182.638380882712</v>
      </c>
      <c r="D38" s="9" t="n">
        <v>4.34765522271977</v>
      </c>
      <c r="E38" s="1" t="n">
        <v>0.06</v>
      </c>
      <c r="F38" s="1" t="n">
        <v>0.52</v>
      </c>
      <c r="G38" s="1" t="n">
        <f aca="false">LN(D38/F38)/E38</f>
        <v>35.3927189653156</v>
      </c>
      <c r="H38" s="1" t="n">
        <v>0.07</v>
      </c>
      <c r="I38" s="1" t="n">
        <v>0.55</v>
      </c>
      <c r="J38" s="1" t="n">
        <f aca="false">LN(D38/I38)/H38</f>
        <v>29.5353381609699</v>
      </c>
      <c r="K38" s="1" t="n">
        <v>0.05</v>
      </c>
      <c r="L38" s="1" t="n">
        <v>0.5</v>
      </c>
      <c r="M38" s="1" t="n">
        <f aca="false">LN(D38/L38)/K38</f>
        <v>43.2556770214443</v>
      </c>
    </row>
    <row r="39" customFormat="false" ht="12.8" hidden="false" customHeight="false" outlineLevel="0" collapsed="false">
      <c r="A39" s="7" t="s">
        <v>15</v>
      </c>
      <c r="B39" s="8" t="n">
        <v>684.3</v>
      </c>
      <c r="C39" s="6" t="n">
        <f aca="false">B39/3.2808</f>
        <v>208.577176298464</v>
      </c>
      <c r="D39" s="10" t="n">
        <v>3.57945383315914</v>
      </c>
      <c r="E39" s="1" t="n">
        <v>0.06</v>
      </c>
      <c r="F39" s="1" t="n">
        <v>0.52</v>
      </c>
      <c r="G39" s="1" t="n">
        <f aca="false">LN(D39/F39)/E39</f>
        <v>32.1522782601776</v>
      </c>
      <c r="H39" s="1" t="n">
        <v>0.07</v>
      </c>
      <c r="I39" s="1" t="n">
        <v>0.55</v>
      </c>
      <c r="J39" s="1" t="n">
        <f aca="false">LN(D39/I39)/H39</f>
        <v>26.7578175565658</v>
      </c>
      <c r="K39" s="1" t="n">
        <v>0.05</v>
      </c>
      <c r="L39" s="1" t="n">
        <v>0.5</v>
      </c>
      <c r="M39" s="1" t="n">
        <f aca="false">LN(D39/L39)/K39</f>
        <v>39.3671481752787</v>
      </c>
    </row>
    <row r="40" customFormat="false" ht="12.8" hidden="false" customHeight="false" outlineLevel="0" collapsed="false">
      <c r="A40" s="7" t="s">
        <v>15</v>
      </c>
      <c r="B40" s="8" t="n">
        <v>673.05</v>
      </c>
      <c r="C40" s="6" t="n">
        <f aca="false">B40/3.2808</f>
        <v>205.148134601317</v>
      </c>
      <c r="D40" s="10" t="n">
        <v>3.43998697138814</v>
      </c>
      <c r="E40" s="1" t="n">
        <v>0.06</v>
      </c>
      <c r="F40" s="1" t="n">
        <v>0.52</v>
      </c>
      <c r="G40" s="1" t="n">
        <f aca="false">LN(D40/F40)/E40</f>
        <v>31.4899025232939</v>
      </c>
      <c r="H40" s="1" t="n">
        <v>0.07</v>
      </c>
      <c r="I40" s="1" t="n">
        <v>0.55</v>
      </c>
      <c r="J40" s="1" t="n">
        <f aca="false">LN(D40/I40)/H40</f>
        <v>26.1900669249512</v>
      </c>
      <c r="K40" s="1" t="n">
        <v>0.05</v>
      </c>
      <c r="L40" s="1" t="n">
        <v>0.5</v>
      </c>
      <c r="M40" s="1" t="n">
        <f aca="false">LN(D40/L40)/K40</f>
        <v>38.5722972910182</v>
      </c>
    </row>
    <row r="41" customFormat="false" ht="12.8" hidden="false" customHeight="false" outlineLevel="0" collapsed="false">
      <c r="A41" s="7" t="s">
        <v>15</v>
      </c>
      <c r="B41" s="8" t="n">
        <v>663.55</v>
      </c>
      <c r="C41" s="6" t="n">
        <f aca="false">B41/3.2808</f>
        <v>202.252499390393</v>
      </c>
      <c r="D41" s="10" t="n">
        <v>5.47999509259563</v>
      </c>
      <c r="E41" s="1" t="n">
        <v>0.06</v>
      </c>
      <c r="F41" s="1" t="n">
        <v>0.52</v>
      </c>
      <c r="G41" s="1" t="n">
        <f aca="false">LN(D41/F41)/E41</f>
        <v>39.2505112142407</v>
      </c>
      <c r="H41" s="1" t="n">
        <v>0.07</v>
      </c>
      <c r="I41" s="1" t="n">
        <v>0.55</v>
      </c>
      <c r="J41" s="1" t="n">
        <f aca="false">LN(D41/I41)/H41</f>
        <v>32.8420172314771</v>
      </c>
      <c r="K41" s="1" t="n">
        <v>0.05</v>
      </c>
      <c r="L41" s="1" t="n">
        <v>0.5</v>
      </c>
      <c r="M41" s="1" t="n">
        <f aca="false">LN(D41/L41)/K41</f>
        <v>47.8850277201544</v>
      </c>
    </row>
    <row r="42" customFormat="false" ht="12.8" hidden="false" customHeight="false" outlineLevel="0" collapsed="false">
      <c r="A42" s="4" t="s">
        <v>15</v>
      </c>
      <c r="B42" s="5" t="n">
        <v>663.05</v>
      </c>
      <c r="C42" s="6" t="n">
        <f aca="false">B42/3.2808</f>
        <v>202.100097537186</v>
      </c>
      <c r="D42" s="11" t="n">
        <v>4.4371838096695</v>
      </c>
      <c r="E42" s="1" t="n">
        <v>0.06</v>
      </c>
      <c r="F42" s="1" t="n">
        <v>0.52</v>
      </c>
      <c r="G42" s="1" t="n">
        <f aca="false">LN(D42/F42)/E42</f>
        <v>35.7324394251752</v>
      </c>
      <c r="H42" s="1" t="n">
        <v>0.07</v>
      </c>
      <c r="I42" s="1" t="n">
        <v>0.55</v>
      </c>
      <c r="J42" s="1" t="n">
        <f aca="false">LN(D42/I42)/H42</f>
        <v>29.8265271265639</v>
      </c>
      <c r="K42" s="1" t="n">
        <v>0.05</v>
      </c>
      <c r="L42" s="1" t="n">
        <v>0.5</v>
      </c>
      <c r="M42" s="1" t="n">
        <f aca="false">LN(D42/L42)/K42</f>
        <v>43.6633415732759</v>
      </c>
    </row>
    <row r="43" customFormat="false" ht="12.8" hidden="false" customHeight="false" outlineLevel="0" collapsed="false">
      <c r="A43" s="4" t="s">
        <v>15</v>
      </c>
      <c r="B43" s="5" t="n">
        <v>662.3</v>
      </c>
      <c r="C43" s="6" t="n">
        <f aca="false">B43/3.2808</f>
        <v>201.871494757376</v>
      </c>
      <c r="D43" s="11" t="n">
        <v>5.16696117670098</v>
      </c>
      <c r="E43" s="1" t="n">
        <v>0.06</v>
      </c>
      <c r="F43" s="1" t="n">
        <v>0.52</v>
      </c>
      <c r="G43" s="1" t="n">
        <f aca="false">LN(D43/F43)/E43</f>
        <v>38.2701867163555</v>
      </c>
      <c r="H43" s="1" t="n">
        <v>0.07</v>
      </c>
      <c r="I43" s="1" t="n">
        <v>0.55</v>
      </c>
      <c r="J43" s="1" t="n">
        <f aca="false">LN(D43/I43)/H43</f>
        <v>32.0017390904327</v>
      </c>
      <c r="K43" s="1" t="n">
        <v>0.05</v>
      </c>
      <c r="L43" s="1" t="n">
        <v>0.5</v>
      </c>
      <c r="M43" s="1" t="n">
        <f aca="false">LN(D43/L43)/K43</f>
        <v>46.7086383226923</v>
      </c>
    </row>
    <row r="44" customFormat="false" ht="12.8" hidden="false" customHeight="false" outlineLevel="0" collapsed="false">
      <c r="A44" s="4" t="s">
        <v>15</v>
      </c>
      <c r="B44" s="5" t="n">
        <v>656.15</v>
      </c>
      <c r="C44" s="6" t="n">
        <f aca="false">B44/3.2808</f>
        <v>199.996951962936</v>
      </c>
      <c r="D44" s="11" t="n">
        <v>4.97785238565978</v>
      </c>
      <c r="E44" s="1" t="n">
        <v>0.06</v>
      </c>
      <c r="F44" s="1" t="n">
        <v>0.52</v>
      </c>
      <c r="G44" s="1" t="n">
        <f aca="false">LN(D44/F44)/E44</f>
        <v>37.6487502928274</v>
      </c>
      <c r="H44" s="1" t="n">
        <v>0.07</v>
      </c>
      <c r="I44" s="1" t="n">
        <v>0.55</v>
      </c>
      <c r="J44" s="1" t="n">
        <f aca="false">LN(D44/I44)/H44</f>
        <v>31.4690792988371</v>
      </c>
      <c r="K44" s="1" t="n">
        <v>0.05</v>
      </c>
      <c r="L44" s="1" t="n">
        <v>0.5</v>
      </c>
      <c r="M44" s="1" t="n">
        <f aca="false">LN(D44/L44)/K44</f>
        <v>45.9629146144585</v>
      </c>
    </row>
    <row r="45" customFormat="false" ht="12.8" hidden="false" customHeight="false" outlineLevel="0" collapsed="false">
      <c r="A45" s="4" t="s">
        <v>15</v>
      </c>
      <c r="B45" s="5" t="n">
        <v>653.8</v>
      </c>
      <c r="C45" s="6" t="n">
        <f aca="false">B45/3.2808</f>
        <v>199.280663252865</v>
      </c>
      <c r="D45" s="11" t="n">
        <v>5.04623074934568</v>
      </c>
      <c r="E45" s="1" t="n">
        <v>0.06</v>
      </c>
      <c r="F45" s="1" t="n">
        <v>0.52</v>
      </c>
      <c r="G45" s="1" t="n">
        <f aca="false">LN(D45/F45)/E45</f>
        <v>37.8761340956807</v>
      </c>
      <c r="H45" s="1" t="n">
        <v>0.07</v>
      </c>
      <c r="I45" s="1" t="n">
        <v>0.55</v>
      </c>
      <c r="J45" s="1" t="n">
        <f aca="false">LN(D45/I45)/H45</f>
        <v>31.6639797012828</v>
      </c>
      <c r="K45" s="1" t="n">
        <v>0.05</v>
      </c>
      <c r="L45" s="1" t="n">
        <v>0.5</v>
      </c>
      <c r="M45" s="1" t="n">
        <f aca="false">LN(D45/L45)/K45</f>
        <v>46.2357751778824</v>
      </c>
    </row>
    <row r="46" customFormat="false" ht="12.8" hidden="false" customHeight="false" outlineLevel="0" collapsed="false">
      <c r="A46" s="4" t="s">
        <v>15</v>
      </c>
      <c r="B46" s="5" t="n">
        <v>639.1</v>
      </c>
      <c r="C46" s="6" t="n">
        <f aca="false">B46/3.2808</f>
        <v>194.800048768593</v>
      </c>
      <c r="D46" s="11" t="n">
        <v>5.0678031906316</v>
      </c>
      <c r="E46" s="1" t="n">
        <v>0.06</v>
      </c>
      <c r="F46" s="1" t="n">
        <v>0.52</v>
      </c>
      <c r="G46" s="1" t="n">
        <f aca="false">LN(D46/F46)/E46</f>
        <v>37.9472315896104</v>
      </c>
      <c r="H46" s="1" t="n">
        <v>0.07</v>
      </c>
      <c r="I46" s="1" t="n">
        <v>0.55</v>
      </c>
      <c r="J46" s="1" t="n">
        <f aca="false">LN(D46/I46)/H46</f>
        <v>31.7249204103654</v>
      </c>
      <c r="K46" s="1" t="n">
        <v>0.05</v>
      </c>
      <c r="L46" s="1" t="n">
        <v>0.5</v>
      </c>
      <c r="M46" s="1" t="n">
        <f aca="false">LN(D46/L46)/K46</f>
        <v>46.3210921705981</v>
      </c>
    </row>
    <row r="47" customFormat="false" ht="12.8" hidden="false" customHeight="false" outlineLevel="0" collapsed="false">
      <c r="A47" s="4" t="s">
        <v>15</v>
      </c>
      <c r="B47" s="5" t="n">
        <v>617.8</v>
      </c>
      <c r="C47" s="6" t="n">
        <f aca="false">B47/3.2808</f>
        <v>188.307729821995</v>
      </c>
      <c r="D47" s="11" t="n">
        <v>4.09874678583355</v>
      </c>
      <c r="E47" s="1" t="n">
        <v>0.06</v>
      </c>
      <c r="F47" s="1" t="n">
        <v>0.52</v>
      </c>
      <c r="G47" s="1" t="n">
        <f aca="false">LN(D47/F47)/E47</f>
        <v>34.4101288733494</v>
      </c>
      <c r="H47" s="1" t="n">
        <v>0.07</v>
      </c>
      <c r="I47" s="1" t="n">
        <v>0.55</v>
      </c>
      <c r="J47" s="1" t="n">
        <f aca="false">LN(D47/I47)/H47</f>
        <v>28.6931180821417</v>
      </c>
      <c r="K47" s="1" t="n">
        <v>0.05</v>
      </c>
      <c r="L47" s="1" t="n">
        <v>0.5</v>
      </c>
      <c r="M47" s="1" t="n">
        <f aca="false">LN(D47/L47)/K47</f>
        <v>42.0765689110848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2025-12-10T14:17:42Z</dcterms:created>
  <dc:creator/>
  <dc:description/>
  <dc:language>en-US</dc:language>
  <cp:lastModifiedBy>Ronnie Rattanasriampaipong</cp:lastModifiedBy>
  <dcterms:modified xsi:type="dcterms:W3CDTF">2025-12-11T07:03:43Z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