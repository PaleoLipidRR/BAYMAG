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lb1r18\Documents\Manuscript\Babila et al SDB_Science Advances\2021 May Resubmission_ScienceAdvances\Resumbitted June 2021\"/>
    </mc:Choice>
  </mc:AlternateContent>
  <bookViews>
    <workbookView xWindow="0" yWindow="0" windowWidth="19200" windowHeight="6760" tabRatio="565" activeTab="2"/>
  </bookViews>
  <sheets>
    <sheet name="stable isotope" sheetId="1" r:id="rId1"/>
    <sheet name="trace element" sheetId="2" r:id="rId2"/>
    <sheet name="boron isotope" sheetId="3" r:id="rId3"/>
  </sheets>
  <definedNames>
    <definedName name="_xlnm._FilterDatabase" localSheetId="2" hidden="1">'boron isotope'!$A$1:$F$1</definedName>
    <definedName name="_xlnm._FilterDatabase" localSheetId="0" hidden="1">'stable isotope'!$Z$1:$AB$1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10" i="2" l="1"/>
  <c r="AB9" i="2"/>
  <c r="AB8" i="2"/>
  <c r="AB7" i="2"/>
  <c r="AB6" i="2"/>
  <c r="AB5" i="2"/>
  <c r="AB4" i="2"/>
  <c r="AB3" i="2"/>
  <c r="AB2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W3" i="2"/>
  <c r="W2" i="2"/>
  <c r="AQ3" i="2" l="1"/>
  <c r="AQ4" i="2"/>
  <c r="AQ5" i="2"/>
  <c r="AQ2" i="2"/>
  <c r="AL3" i="2"/>
  <c r="AL4" i="2"/>
  <c r="AL5" i="2"/>
  <c r="AL6" i="2"/>
  <c r="AL7" i="2"/>
  <c r="AL8" i="2"/>
  <c r="AL9" i="2"/>
  <c r="AL10" i="2"/>
  <c r="AL11" i="2"/>
  <c r="AL12" i="2"/>
  <c r="AL13" i="2"/>
  <c r="AL14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M3" i="2"/>
  <c r="M4" i="2"/>
  <c r="M5" i="2"/>
  <c r="M6" i="2"/>
  <c r="M7" i="2"/>
  <c r="M8" i="2"/>
  <c r="M9" i="2"/>
  <c r="M10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" i="2"/>
  <c r="AL2" i="2"/>
  <c r="AG2" i="2"/>
  <c r="M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" i="2"/>
</calcChain>
</file>

<file path=xl/sharedStrings.xml><?xml version="1.0" encoding="utf-8"?>
<sst xmlns="http://schemas.openxmlformats.org/spreadsheetml/2006/main" count="683" uniqueCount="30">
  <si>
    <t>Acarinina</t>
  </si>
  <si>
    <t>Morozvella</t>
  </si>
  <si>
    <t>Subbotina</t>
  </si>
  <si>
    <t>Species</t>
  </si>
  <si>
    <t xml:space="preserve">Average depth (m) </t>
  </si>
  <si>
    <t xml:space="preserve">Average depth (ft) </t>
  </si>
  <si>
    <t>Cibicidoides alleni</t>
  </si>
  <si>
    <t>Morozovella</t>
  </si>
  <si>
    <t>Mg/Ca mmol/mol</t>
  </si>
  <si>
    <r>
      <t>δ</t>
    </r>
    <r>
      <rPr>
        <vertAlign val="superscript"/>
        <sz val="10"/>
        <rFont val="Arial"/>
        <family val="2"/>
      </rPr>
      <t>18</t>
    </r>
    <r>
      <rPr>
        <sz val="10"/>
        <rFont val="Arial"/>
        <family val="2"/>
      </rPr>
      <t>O (‰ VPDB)</t>
    </r>
  </si>
  <si>
    <r>
      <t>δ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>C (‰ VPDB)</t>
    </r>
  </si>
  <si>
    <r>
      <t>δ</t>
    </r>
    <r>
      <rPr>
        <vertAlign val="superscript"/>
        <sz val="10"/>
        <rFont val="Arial"/>
        <family val="2"/>
      </rPr>
      <t>11</t>
    </r>
    <r>
      <rPr>
        <sz val="10"/>
        <rFont val="Arial"/>
        <family val="2"/>
      </rPr>
      <t>B (‰)</t>
    </r>
  </si>
  <si>
    <t>2se</t>
  </si>
  <si>
    <t>Sr/Ca mmol/mol</t>
  </si>
  <si>
    <t>B/Ca µmol/mol</t>
  </si>
  <si>
    <t>South Dover Bridge</t>
  </si>
  <si>
    <t>Bass River</t>
  </si>
  <si>
    <t>Age</t>
  </si>
  <si>
    <t>Cleaning experiment</t>
  </si>
  <si>
    <t>clay and oxidiative</t>
  </si>
  <si>
    <t>early Eocene</t>
  </si>
  <si>
    <t>late Paleocene</t>
  </si>
  <si>
    <t>Core</t>
  </si>
  <si>
    <t>Cibicidoides wuellerstorfi</t>
  </si>
  <si>
    <t>ODP 999 5H 2W 130-132cm</t>
  </si>
  <si>
    <t>untreated</t>
  </si>
  <si>
    <t>clay removal only</t>
  </si>
  <si>
    <t>early Pleistocene</t>
  </si>
  <si>
    <t>pH</t>
  </si>
  <si>
    <t>2se + 0.79‰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</si>
</sst>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3" fillId="0" borderId="0"/>
    <xf numFmtId="0" fontId="1" fillId="0" borderId="0"/>
  </cellStyleXfs>
  <cellXfs count="59">
    <xf numFmtId="0" fontId="0" fillId="0" borderId="0" xfId="0"/>
    <xf numFmtId="0" fontId="3" fillId="0" borderId="0" xfId="1" applyFont="1"/>
    <xf numFmtId="0" fontId="3" fillId="0" borderId="1" xfId="1" applyFont="1" applyBorder="1" applyAlignment="1">
      <alignment horizontal="center" textRotation="90"/>
    </xf>
    <xf numFmtId="0" fontId="4" fillId="0" borderId="0" xfId="0" applyFont="1"/>
    <xf numFmtId="0" fontId="3" fillId="0" borderId="0" xfId="1" applyFont="1" applyAlignment="1"/>
    <xf numFmtId="0" fontId="3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2" fontId="3" fillId="0" borderId="0" xfId="1" applyNumberFormat="1" applyFont="1" applyAlignment="1">
      <alignment horizontal="center"/>
    </xf>
    <xf numFmtId="0" fontId="3" fillId="0" borderId="0" xfId="2" applyFont="1"/>
    <xf numFmtId="2" fontId="3" fillId="0" borderId="0" xfId="2" applyNumberFormat="1" applyFont="1" applyAlignment="1">
      <alignment horizontal="center"/>
    </xf>
    <xf numFmtId="0" fontId="4" fillId="0" borderId="1" xfId="0" applyFont="1" applyBorder="1" applyAlignment="1">
      <alignment horizontal="center" textRotation="90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Border="1"/>
    <xf numFmtId="0" fontId="4" fillId="0" borderId="1" xfId="0" applyFont="1" applyBorder="1"/>
    <xf numFmtId="0" fontId="4" fillId="0" borderId="0" xfId="0" applyFont="1" applyBorder="1" applyAlignment="1">
      <alignment horizontal="center"/>
    </xf>
    <xf numFmtId="0" fontId="1" fillId="0" borderId="1" xfId="1" applyFont="1" applyBorder="1" applyAlignment="1">
      <alignment horizontal="center" textRotation="90"/>
    </xf>
    <xf numFmtId="0" fontId="4" fillId="0" borderId="1" xfId="0" applyFont="1" applyBorder="1" applyAlignment="1">
      <alignment horizont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2" fontId="1" fillId="0" borderId="0" xfId="3" applyNumberFormat="1" applyFont="1" applyAlignment="1">
      <alignment horizontal="center" vertical="center"/>
    </xf>
    <xf numFmtId="164" fontId="1" fillId="0" borderId="0" xfId="3" applyNumberFormat="1" applyFont="1" applyAlignment="1">
      <alignment horizontal="center" vertical="center"/>
    </xf>
    <xf numFmtId="0" fontId="1" fillId="0" borderId="0" xfId="3" applyFont="1" applyAlignment="1">
      <alignment vertical="center"/>
    </xf>
    <xf numFmtId="0" fontId="5" fillId="0" borderId="0" xfId="3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2" fontId="4" fillId="0" borderId="0" xfId="0" applyNumberFormat="1" applyFont="1" applyBorder="1" applyAlignment="1">
      <alignment horizontal="center" vertical="center"/>
    </xf>
    <xf numFmtId="0" fontId="5" fillId="0" borderId="0" xfId="3" applyFont="1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1" fontId="1" fillId="0" borderId="0" xfId="4" applyNumberFormat="1" applyFont="1" applyFill="1" applyBorder="1" applyAlignment="1">
      <alignment horizontal="center" vertical="center"/>
    </xf>
    <xf numFmtId="2" fontId="1" fillId="0" borderId="0" xfId="4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1" fontId="1" fillId="0" borderId="0" xfId="4" applyNumberFormat="1" applyFont="1" applyBorder="1" applyAlignment="1">
      <alignment horizontal="center" vertical="center"/>
    </xf>
    <xf numFmtId="2" fontId="1" fillId="0" borderId="0" xfId="3" applyNumberFormat="1" applyFont="1" applyBorder="1" applyAlignment="1">
      <alignment horizontal="center" vertical="center"/>
    </xf>
    <xf numFmtId="0" fontId="1" fillId="0" borderId="0" xfId="3" applyFont="1" applyBorder="1" applyAlignment="1">
      <alignment vertical="center"/>
    </xf>
    <xf numFmtId="0" fontId="1" fillId="0" borderId="0" xfId="3" applyFont="1" applyBorder="1" applyAlignment="1">
      <alignment horizontal="center" vertical="center"/>
    </xf>
    <xf numFmtId="0" fontId="1" fillId="0" borderId="0" xfId="1" applyFont="1" applyAlignment="1">
      <alignment horizontal="center"/>
    </xf>
    <xf numFmtId="0" fontId="1" fillId="0" borderId="0" xfId="1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0" fontId="0" fillId="0" borderId="1" xfId="0" applyNumberFormat="1" applyBorder="1" applyAlignment="1">
      <alignment horizontal="center" textRotation="90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3" fillId="0" borderId="1" xfId="1" applyFont="1" applyFill="1" applyBorder="1" applyAlignment="1">
      <alignment horizontal="center" textRotation="90"/>
    </xf>
    <xf numFmtId="2" fontId="3" fillId="0" borderId="0" xfId="1" applyNumberFormat="1" applyFont="1" applyFill="1" applyAlignment="1">
      <alignment horizontal="center"/>
    </xf>
    <xf numFmtId="0" fontId="4" fillId="0" borderId="0" xfId="0" applyFont="1" applyFill="1"/>
    <xf numFmtId="2" fontId="3" fillId="0" borderId="0" xfId="2" applyNumberFormat="1" applyFont="1" applyFill="1" applyAlignment="1">
      <alignment horizontal="center"/>
    </xf>
    <xf numFmtId="0" fontId="1" fillId="0" borderId="1" xfId="1" applyFont="1" applyFill="1" applyBorder="1" applyAlignment="1">
      <alignment horizontal="center" textRotation="90"/>
    </xf>
    <xf numFmtId="2" fontId="1" fillId="0" borderId="0" xfId="0" applyNumberFormat="1" applyFont="1" applyFill="1" applyAlignment="1">
      <alignment horizontal="center"/>
    </xf>
    <xf numFmtId="2" fontId="4" fillId="0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 vertical="center"/>
    </xf>
  </cellXfs>
  <cellStyles count="5">
    <cellStyle name="Normal" xfId="0" builtinId="0"/>
    <cellStyle name="Normal 3" xfId="4"/>
    <cellStyle name="Normal_Sheet1" xfId="1"/>
    <cellStyle name="Normal_stable isotope" xfId="2"/>
    <cellStyle name="Normal_trace element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8"/>
  <sheetViews>
    <sheetView zoomScale="40" zoomScaleNormal="40" workbookViewId="0">
      <selection activeCell="S17" sqref="S17"/>
    </sheetView>
  </sheetViews>
  <sheetFormatPr defaultRowHeight="12.5" x14ac:dyDescent="0.25"/>
  <cols>
    <col min="1" max="1" width="13.08984375" style="3" customWidth="1"/>
    <col min="2" max="2" width="8.7265625" style="3" customWidth="1"/>
    <col min="3" max="6" width="8.7265625" style="3"/>
    <col min="7" max="7" width="13.08984375" style="3" customWidth="1"/>
    <col min="8" max="8" width="8.7265625" style="3" customWidth="1"/>
    <col min="9" max="12" width="8.7265625" style="3"/>
    <col min="13" max="13" width="13.08984375" style="3" customWidth="1"/>
    <col min="14" max="14" width="8.7265625" style="3" customWidth="1"/>
    <col min="15" max="18" width="8.7265625" style="3"/>
    <col min="19" max="19" width="17.81640625" style="3" customWidth="1"/>
    <col min="20" max="20" width="8.7265625" style="53" customWidth="1"/>
    <col min="21" max="21" width="8.7265625" style="53"/>
    <col min="22" max="16384" width="8.7265625" style="3"/>
  </cols>
  <sheetData>
    <row r="1" spans="1:28" s="14" customFormat="1" ht="90" x14ac:dyDescent="0.25">
      <c r="A1" s="2" t="s">
        <v>3</v>
      </c>
      <c r="B1" s="2" t="s">
        <v>5</v>
      </c>
      <c r="C1" s="2" t="s">
        <v>4</v>
      </c>
      <c r="D1" s="2" t="s">
        <v>10</v>
      </c>
      <c r="E1" s="2" t="s">
        <v>9</v>
      </c>
      <c r="F1" s="2"/>
      <c r="G1" s="2" t="s">
        <v>3</v>
      </c>
      <c r="H1" s="2" t="s">
        <v>5</v>
      </c>
      <c r="I1" s="2" t="s">
        <v>4</v>
      </c>
      <c r="J1" s="2" t="s">
        <v>10</v>
      </c>
      <c r="K1" s="2" t="s">
        <v>9</v>
      </c>
      <c r="L1" s="2"/>
      <c r="M1" s="2" t="s">
        <v>3</v>
      </c>
      <c r="N1" s="2" t="s">
        <v>5</v>
      </c>
      <c r="O1" s="2" t="s">
        <v>4</v>
      </c>
      <c r="P1" s="2" t="s">
        <v>10</v>
      </c>
      <c r="Q1" s="2" t="s">
        <v>9</v>
      </c>
      <c r="R1" s="15"/>
      <c r="S1" s="2" t="s">
        <v>3</v>
      </c>
      <c r="T1" s="51" t="s">
        <v>5</v>
      </c>
      <c r="U1" s="51" t="s">
        <v>4</v>
      </c>
      <c r="V1" s="2" t="s">
        <v>10</v>
      </c>
      <c r="W1" s="2" t="s">
        <v>9</v>
      </c>
    </row>
    <row r="2" spans="1:28" ht="13" x14ac:dyDescent="0.3">
      <c r="A2" s="6" t="s">
        <v>2</v>
      </c>
      <c r="B2" s="8">
        <v>689.05</v>
      </c>
      <c r="C2" s="7">
        <v>210.01219140506001</v>
      </c>
      <c r="D2" s="7">
        <v>1.3634136277369999</v>
      </c>
      <c r="E2" s="7">
        <v>-1.9653425644745</v>
      </c>
      <c r="F2" s="5"/>
      <c r="G2" s="6" t="s">
        <v>0</v>
      </c>
      <c r="H2" s="8">
        <v>689.05</v>
      </c>
      <c r="I2" s="7">
        <v>210.01219140506001</v>
      </c>
      <c r="J2" s="7">
        <v>2.6142153540939002</v>
      </c>
      <c r="K2" s="7">
        <v>-2.6019505353754999</v>
      </c>
      <c r="L2" s="5"/>
      <c r="M2" s="6" t="s">
        <v>1</v>
      </c>
      <c r="N2" s="8">
        <v>689.05</v>
      </c>
      <c r="O2" s="7">
        <v>210.01219140506001</v>
      </c>
      <c r="P2" s="7">
        <v>2.9308520674984</v>
      </c>
      <c r="Q2" s="7">
        <v>-2.8644772601240001</v>
      </c>
      <c r="S2" s="6" t="s">
        <v>6</v>
      </c>
      <c r="T2" s="52">
        <v>685.71666158400001</v>
      </c>
      <c r="U2" s="54">
        <v>209.00898000000001</v>
      </c>
      <c r="V2" s="9">
        <v>1.0670673063275</v>
      </c>
      <c r="W2" s="9">
        <v>-1.4896715981090001</v>
      </c>
      <c r="Z2" s="54"/>
      <c r="AA2" s="9"/>
      <c r="AB2" s="9"/>
    </row>
    <row r="3" spans="1:28" ht="13" x14ac:dyDescent="0.3">
      <c r="A3" s="6" t="s">
        <v>2</v>
      </c>
      <c r="B3" s="8">
        <v>686.05</v>
      </c>
      <c r="C3" s="7">
        <v>209.0978360256</v>
      </c>
      <c r="D3" s="7">
        <v>1.4224404271291</v>
      </c>
      <c r="E3" s="7">
        <v>-2.4332580749647001</v>
      </c>
      <c r="F3" s="5"/>
      <c r="G3" s="6" t="s">
        <v>0</v>
      </c>
      <c r="H3" s="8">
        <v>688.05</v>
      </c>
      <c r="I3" s="7">
        <v>209.70740627857001</v>
      </c>
      <c r="J3" s="7">
        <v>3.3689208990881001</v>
      </c>
      <c r="K3" s="7">
        <v>-2.6319341548789001</v>
      </c>
      <c r="L3" s="5"/>
      <c r="M3" s="6" t="s">
        <v>1</v>
      </c>
      <c r="N3" s="8">
        <v>686.05</v>
      </c>
      <c r="O3" s="7">
        <v>209.0978360256</v>
      </c>
      <c r="P3" s="7">
        <v>3.4526162101905999</v>
      </c>
      <c r="Q3" s="7">
        <v>-3.6350236871359001</v>
      </c>
      <c r="S3" s="6" t="s">
        <v>6</v>
      </c>
      <c r="T3" s="52">
        <v>685.65439200000003</v>
      </c>
      <c r="U3" s="54">
        <v>208.99</v>
      </c>
      <c r="V3" s="9">
        <v>1.0640610895052001</v>
      </c>
      <c r="W3" s="9">
        <v>-1.2770618863950001</v>
      </c>
      <c r="Z3" s="54"/>
      <c r="AA3" s="9"/>
      <c r="AB3" s="9"/>
    </row>
    <row r="4" spans="1:28" ht="13" x14ac:dyDescent="0.3">
      <c r="A4" s="6" t="s">
        <v>2</v>
      </c>
      <c r="B4" s="8">
        <v>685.05</v>
      </c>
      <c r="C4" s="7">
        <v>208.79305089912</v>
      </c>
      <c r="D4" s="7">
        <v>1.2469871076498</v>
      </c>
      <c r="E4" s="7">
        <v>-2.2117107975510999</v>
      </c>
      <c r="F4" s="5"/>
      <c r="G4" s="6" t="s">
        <v>0</v>
      </c>
      <c r="H4" s="8">
        <v>686.05</v>
      </c>
      <c r="I4" s="7">
        <v>209.0978360256</v>
      </c>
      <c r="J4" s="7">
        <v>3.3869138789686999</v>
      </c>
      <c r="K4" s="7">
        <v>-2.8698042029386999</v>
      </c>
      <c r="L4" s="5"/>
      <c r="M4" s="6" t="s">
        <v>1</v>
      </c>
      <c r="N4" s="8">
        <v>684.05</v>
      </c>
      <c r="O4" s="7">
        <v>208.48826577263</v>
      </c>
      <c r="P4" s="7">
        <v>3.1531776714861999</v>
      </c>
      <c r="Q4" s="7">
        <v>-3.1477811615808</v>
      </c>
      <c r="S4" s="6" t="s">
        <v>6</v>
      </c>
      <c r="T4" s="52">
        <v>684.16668043200002</v>
      </c>
      <c r="U4" s="54">
        <v>208.53654</v>
      </c>
      <c r="V4" s="9">
        <v>1.2843632803481999</v>
      </c>
      <c r="W4" s="9">
        <v>-1.1329464310513</v>
      </c>
      <c r="Z4" s="54"/>
      <c r="AA4" s="9"/>
      <c r="AB4" s="9"/>
    </row>
    <row r="5" spans="1:28" ht="13" x14ac:dyDescent="0.3">
      <c r="A5" s="6" t="s">
        <v>2</v>
      </c>
      <c r="B5" s="8">
        <v>684.05</v>
      </c>
      <c r="C5" s="7">
        <v>208.48826577263</v>
      </c>
      <c r="D5" s="7">
        <v>1.5274231603816</v>
      </c>
      <c r="E5" s="7">
        <v>-2.6363454756995002</v>
      </c>
      <c r="F5" s="5"/>
      <c r="G5" s="6" t="s">
        <v>0</v>
      </c>
      <c r="H5" s="8">
        <v>685.05</v>
      </c>
      <c r="I5" s="7">
        <v>208.79305089912</v>
      </c>
      <c r="J5" s="7">
        <v>2.8102547158447</v>
      </c>
      <c r="K5" s="7">
        <v>-3.0142752763781</v>
      </c>
      <c r="L5" s="5"/>
      <c r="M5" s="6" t="s">
        <v>1</v>
      </c>
      <c r="N5" s="8">
        <v>679.55</v>
      </c>
      <c r="O5" s="7">
        <v>207.11673270343999</v>
      </c>
      <c r="P5" s="7">
        <v>3.0039591354763999</v>
      </c>
      <c r="Q5" s="7">
        <v>-2.6836449825984001</v>
      </c>
      <c r="S5" s="6" t="s">
        <v>6</v>
      </c>
      <c r="T5" s="52">
        <v>682.71669806400007</v>
      </c>
      <c r="U5" s="54">
        <v>208.09458000000001</v>
      </c>
      <c r="V5" s="9">
        <v>0.77346013001391001</v>
      </c>
      <c r="W5" s="9">
        <v>-1.1862286292777</v>
      </c>
      <c r="Z5" s="54"/>
      <c r="AA5" s="9"/>
      <c r="AB5" s="9"/>
    </row>
    <row r="6" spans="1:28" ht="13" x14ac:dyDescent="0.3">
      <c r="A6" s="6" t="s">
        <v>2</v>
      </c>
      <c r="B6" s="8">
        <v>679.55</v>
      </c>
      <c r="C6" s="7">
        <v>207.11673270343999</v>
      </c>
      <c r="D6" s="7">
        <v>1.3947981679345001</v>
      </c>
      <c r="E6" s="7">
        <v>-2.5091553716314001</v>
      </c>
      <c r="F6" s="5"/>
      <c r="G6" s="6" t="s">
        <v>0</v>
      </c>
      <c r="H6" s="8">
        <v>684.05</v>
      </c>
      <c r="I6" s="7">
        <v>208.48826577263</v>
      </c>
      <c r="J6" s="7">
        <v>3.5336811165965001</v>
      </c>
      <c r="K6" s="7">
        <v>-3.3648904310996999</v>
      </c>
      <c r="L6" s="5"/>
      <c r="M6" s="6" t="s">
        <v>1</v>
      </c>
      <c r="N6" s="8">
        <v>678.45</v>
      </c>
      <c r="O6" s="7">
        <v>206.78146906430999</v>
      </c>
      <c r="P6" s="7">
        <v>2.6987191931468</v>
      </c>
      <c r="Q6" s="7">
        <v>-2.6745524355368002</v>
      </c>
      <c r="S6" s="6" t="s">
        <v>6</v>
      </c>
      <c r="T6" s="52">
        <v>682.71669806400007</v>
      </c>
      <c r="U6" s="54">
        <v>208.09458000000001</v>
      </c>
      <c r="V6" s="9">
        <v>2.4364049901237999E-3</v>
      </c>
      <c r="W6" s="9">
        <v>-1.2172470735026999</v>
      </c>
      <c r="Z6" s="54"/>
      <c r="AA6" s="9"/>
      <c r="AB6" s="9"/>
    </row>
    <row r="7" spans="1:28" ht="13" x14ac:dyDescent="0.3">
      <c r="A7" s="6" t="s">
        <v>2</v>
      </c>
      <c r="B7" s="8">
        <v>678.75</v>
      </c>
      <c r="C7" s="7">
        <v>206.87290460226001</v>
      </c>
      <c r="D7" s="7">
        <v>0.88758350216327997</v>
      </c>
      <c r="E7" s="7">
        <v>-2.2507691759656998</v>
      </c>
      <c r="F7" s="5"/>
      <c r="G7" s="6" t="s">
        <v>0</v>
      </c>
      <c r="H7" s="8">
        <v>683.05</v>
      </c>
      <c r="I7" s="7">
        <v>208.18348064614</v>
      </c>
      <c r="J7" s="7">
        <v>3.2329977154609999</v>
      </c>
      <c r="K7" s="7">
        <v>-3.0508182643350001</v>
      </c>
      <c r="L7" s="5"/>
      <c r="M7" s="6" t="s">
        <v>1</v>
      </c>
      <c r="N7" s="8">
        <v>675.05</v>
      </c>
      <c r="O7" s="7">
        <v>205.74519963425999</v>
      </c>
      <c r="P7" s="7">
        <v>2.6935044632411</v>
      </c>
      <c r="Q7" s="7">
        <v>-3.2221233201191</v>
      </c>
      <c r="S7" s="6" t="s">
        <v>6</v>
      </c>
      <c r="T7" s="52">
        <v>680.86442399999999</v>
      </c>
      <c r="U7" s="54">
        <v>207.53</v>
      </c>
      <c r="V7" s="9">
        <v>0.22532659607687</v>
      </c>
      <c r="W7" s="9">
        <v>-1.2361370123091999</v>
      </c>
      <c r="Z7" s="54"/>
      <c r="AA7" s="9"/>
      <c r="AB7" s="9"/>
    </row>
    <row r="8" spans="1:28" ht="13" x14ac:dyDescent="0.3">
      <c r="A8" s="6" t="s">
        <v>2</v>
      </c>
      <c r="B8" s="8">
        <v>678.05</v>
      </c>
      <c r="C8" s="7">
        <v>206.65955501372</v>
      </c>
      <c r="D8" s="7">
        <v>-0.41943073638083</v>
      </c>
      <c r="E8" s="7">
        <v>-2.0604847683048999</v>
      </c>
      <c r="F8" s="5"/>
      <c r="G8" s="6" t="s">
        <v>0</v>
      </c>
      <c r="H8" s="8">
        <v>681.05</v>
      </c>
      <c r="I8" s="7">
        <v>207.57391039317</v>
      </c>
      <c r="J8" s="7">
        <v>2.3220163219217</v>
      </c>
      <c r="K8" s="7">
        <v>-2.6162530021449002</v>
      </c>
      <c r="L8" s="5"/>
      <c r="M8" s="6" t="s">
        <v>1</v>
      </c>
      <c r="N8" s="8">
        <v>673.05</v>
      </c>
      <c r="O8" s="7">
        <v>205.13562938128999</v>
      </c>
      <c r="P8" s="7">
        <v>3.4596264769829999</v>
      </c>
      <c r="Q8" s="7">
        <v>-2.6916819727106001</v>
      </c>
      <c r="S8" s="6" t="s">
        <v>6</v>
      </c>
      <c r="T8" s="52">
        <v>680.76672177600005</v>
      </c>
      <c r="U8" s="54">
        <v>207.50022000000001</v>
      </c>
      <c r="V8" s="9">
        <v>0.39886755991826001</v>
      </c>
      <c r="W8" s="9">
        <v>-0.80268626709482005</v>
      </c>
      <c r="Z8" s="54"/>
      <c r="AA8" s="9"/>
      <c r="AB8" s="9"/>
    </row>
    <row r="9" spans="1:28" ht="13" x14ac:dyDescent="0.3">
      <c r="A9" s="6" t="s">
        <v>2</v>
      </c>
      <c r="B9" s="8">
        <v>677.55</v>
      </c>
      <c r="C9" s="7">
        <v>206.50716245046999</v>
      </c>
      <c r="D9" s="7">
        <v>-0.79807002779484004</v>
      </c>
      <c r="E9" s="7">
        <v>-2.22773474767</v>
      </c>
      <c r="F9" s="5"/>
      <c r="G9" s="6" t="s">
        <v>0</v>
      </c>
      <c r="H9" s="8">
        <v>679.55</v>
      </c>
      <c r="I9" s="7">
        <v>207.11673270343999</v>
      </c>
      <c r="J9" s="7">
        <v>3.4274991894629001</v>
      </c>
      <c r="K9" s="7">
        <v>-3.1248918885719998</v>
      </c>
      <c r="L9" s="5"/>
      <c r="M9" s="6" t="s">
        <v>1</v>
      </c>
      <c r="N9" s="8">
        <v>670.45</v>
      </c>
      <c r="O9" s="7">
        <v>204.34318805242</v>
      </c>
      <c r="P9" s="7">
        <v>3.0269928692228998</v>
      </c>
      <c r="Q9" s="7">
        <v>-3.4712700135987999</v>
      </c>
      <c r="S9" s="6" t="s">
        <v>6</v>
      </c>
      <c r="T9" s="52">
        <v>679.96673150400011</v>
      </c>
      <c r="U9" s="54">
        <v>207.25638000000004</v>
      </c>
      <c r="V9" s="9">
        <v>0.68026740852186995</v>
      </c>
      <c r="W9" s="9">
        <v>-1.2760637187343</v>
      </c>
      <c r="Z9" s="54"/>
      <c r="AA9" s="9"/>
      <c r="AB9" s="9"/>
    </row>
    <row r="10" spans="1:28" ht="13" x14ac:dyDescent="0.3">
      <c r="A10" s="6" t="s">
        <v>2</v>
      </c>
      <c r="B10" s="8">
        <v>676.55</v>
      </c>
      <c r="C10" s="7">
        <v>206.20237732398999</v>
      </c>
      <c r="D10" s="7">
        <v>-0.81891752780469995</v>
      </c>
      <c r="E10" s="7">
        <v>-2.2779456522967001</v>
      </c>
      <c r="F10" s="5"/>
      <c r="G10" s="6" t="s">
        <v>0</v>
      </c>
      <c r="H10" s="8">
        <v>678.75</v>
      </c>
      <c r="I10" s="7">
        <v>206.87290460226001</v>
      </c>
      <c r="J10" s="7">
        <v>2.4460606293208</v>
      </c>
      <c r="K10" s="7">
        <v>-2.5520558611395998</v>
      </c>
      <c r="L10" s="5"/>
      <c r="M10" s="6" t="s">
        <v>1</v>
      </c>
      <c r="N10" s="8">
        <v>664.05</v>
      </c>
      <c r="O10" s="7">
        <v>202.39256324291</v>
      </c>
      <c r="P10" s="7">
        <v>-1.1411114722071001</v>
      </c>
      <c r="Q10" s="7">
        <v>-4.0469194303886997</v>
      </c>
      <c r="S10" s="6" t="s">
        <v>6</v>
      </c>
      <c r="T10" s="52">
        <v>679.16674123200005</v>
      </c>
      <c r="U10" s="54">
        <v>207.01254</v>
      </c>
      <c r="V10" s="9">
        <v>-1.0982078819334999</v>
      </c>
      <c r="W10" s="9">
        <v>-1.5861863557603999</v>
      </c>
      <c r="Z10" s="54"/>
      <c r="AA10" s="9"/>
      <c r="AB10" s="9"/>
    </row>
    <row r="11" spans="1:28" ht="13" x14ac:dyDescent="0.3">
      <c r="A11" s="6" t="s">
        <v>2</v>
      </c>
      <c r="B11" s="8">
        <v>675.05</v>
      </c>
      <c r="C11" s="7">
        <v>205.74519963425999</v>
      </c>
      <c r="D11" s="7">
        <v>0.87037262528083004</v>
      </c>
      <c r="E11" s="7">
        <v>-2.1215760781328998</v>
      </c>
      <c r="F11" s="5"/>
      <c r="G11" s="6" t="s">
        <v>0</v>
      </c>
      <c r="H11" s="8">
        <v>678.05</v>
      </c>
      <c r="I11" s="7">
        <v>206.65955501372</v>
      </c>
      <c r="J11" s="7">
        <v>-0.38611899721645998</v>
      </c>
      <c r="K11" s="7">
        <v>-2.5727964759258999</v>
      </c>
      <c r="L11" s="5"/>
      <c r="M11" s="6" t="s">
        <v>1</v>
      </c>
      <c r="N11" s="8">
        <v>663.05</v>
      </c>
      <c r="O11" s="7">
        <v>202.08777811643</v>
      </c>
      <c r="P11" s="7">
        <v>-0.85569346708756</v>
      </c>
      <c r="Q11" s="7">
        <v>-4.1071968562304999</v>
      </c>
      <c r="S11" s="6" t="s">
        <v>6</v>
      </c>
      <c r="T11" s="52">
        <v>679.27323600000011</v>
      </c>
      <c r="U11" s="54">
        <v>207.04500000000002</v>
      </c>
      <c r="V11" s="9">
        <v>0.98990774122122005</v>
      </c>
      <c r="W11" s="9">
        <v>-1.1183532283549</v>
      </c>
      <c r="Z11" s="54"/>
      <c r="AA11" s="9"/>
      <c r="AB11" s="9"/>
    </row>
    <row r="12" spans="1:28" ht="13" x14ac:dyDescent="0.3">
      <c r="A12" s="6" t="s">
        <v>2</v>
      </c>
      <c r="B12" s="8">
        <v>674.05</v>
      </c>
      <c r="C12" s="7">
        <v>205.44041450776999</v>
      </c>
      <c r="D12" s="7">
        <v>1.1569921868288999</v>
      </c>
      <c r="E12" s="7">
        <v>-2.7920544036672998</v>
      </c>
      <c r="F12" s="5"/>
      <c r="G12" s="6" t="s">
        <v>0</v>
      </c>
      <c r="H12" s="8">
        <v>677.35</v>
      </c>
      <c r="I12" s="7">
        <v>206.44620542518001</v>
      </c>
      <c r="J12" s="7">
        <v>-9.1684807653676995E-2</v>
      </c>
      <c r="K12" s="7">
        <v>-2.2698722317727</v>
      </c>
      <c r="L12" s="5"/>
      <c r="M12" s="6" t="s">
        <v>1</v>
      </c>
      <c r="N12" s="8">
        <v>662.55</v>
      </c>
      <c r="O12" s="7">
        <v>201.93538555318</v>
      </c>
      <c r="P12" s="7">
        <v>-1.0329530702670999</v>
      </c>
      <c r="Q12" s="7">
        <v>-3.7445276774153</v>
      </c>
      <c r="S12" s="6" t="s">
        <v>6</v>
      </c>
      <c r="T12" s="52">
        <v>678.61674791999997</v>
      </c>
      <c r="U12" s="54">
        <v>206.8449</v>
      </c>
      <c r="V12" s="9">
        <v>0.48851279595727998</v>
      </c>
      <c r="W12" s="9">
        <v>-1.1716255493525001</v>
      </c>
      <c r="Z12" s="54"/>
      <c r="AA12" s="9"/>
      <c r="AB12" s="9"/>
    </row>
    <row r="13" spans="1:28" ht="13" x14ac:dyDescent="0.3">
      <c r="A13" s="6" t="s">
        <v>2</v>
      </c>
      <c r="B13" s="8">
        <v>673.05</v>
      </c>
      <c r="C13" s="7">
        <v>205.13562938128999</v>
      </c>
      <c r="D13" s="7">
        <v>1.2527317801689</v>
      </c>
      <c r="E13" s="7">
        <v>-2.5588057241455</v>
      </c>
      <c r="F13" s="5"/>
      <c r="G13" s="6" t="s">
        <v>0</v>
      </c>
      <c r="H13" s="8">
        <v>675.05</v>
      </c>
      <c r="I13" s="7">
        <v>205.74519963425999</v>
      </c>
      <c r="J13" s="7">
        <v>1.8754568152847999</v>
      </c>
      <c r="K13" s="7">
        <v>-2.9520534320190999</v>
      </c>
      <c r="L13" s="5"/>
      <c r="M13" s="6" t="s">
        <v>1</v>
      </c>
      <c r="N13" s="8">
        <v>661.05</v>
      </c>
      <c r="O13" s="7">
        <v>201.47820786346</v>
      </c>
      <c r="P13" s="7">
        <v>-1.2332464071931</v>
      </c>
      <c r="Q13" s="7">
        <v>-4.056965668029</v>
      </c>
      <c r="S13" s="6" t="s">
        <v>6</v>
      </c>
      <c r="T13" s="52">
        <v>678.61674791999997</v>
      </c>
      <c r="U13" s="54">
        <v>206.8449</v>
      </c>
      <c r="V13" s="9">
        <v>0.40770374996452002</v>
      </c>
      <c r="W13" s="9">
        <v>-0.94666839072665998</v>
      </c>
      <c r="Z13" s="54"/>
      <c r="AA13" s="9"/>
      <c r="AB13" s="9"/>
    </row>
    <row r="14" spans="1:28" ht="13" x14ac:dyDescent="0.3">
      <c r="A14" s="6" t="s">
        <v>2</v>
      </c>
      <c r="B14" s="8">
        <v>671.55</v>
      </c>
      <c r="C14" s="7">
        <v>204.67845169156001</v>
      </c>
      <c r="D14" s="7">
        <v>1.0758907433478</v>
      </c>
      <c r="E14" s="7">
        <v>-2.0234293836552002</v>
      </c>
      <c r="F14" s="5"/>
      <c r="G14" s="6" t="s">
        <v>0</v>
      </c>
      <c r="H14" s="8">
        <v>674.05</v>
      </c>
      <c r="I14" s="7">
        <v>205.44041450776999</v>
      </c>
      <c r="J14" s="7">
        <v>2.8539183120492</v>
      </c>
      <c r="K14" s="7">
        <v>-3.1525460416204001</v>
      </c>
      <c r="L14" s="5"/>
      <c r="M14" s="6" t="s">
        <v>1</v>
      </c>
      <c r="N14" s="8">
        <v>660.55</v>
      </c>
      <c r="O14" s="7">
        <v>201.32581530021</v>
      </c>
      <c r="P14" s="7">
        <v>-0.63336786309971005</v>
      </c>
      <c r="Q14" s="7">
        <v>-3.8972304895479999</v>
      </c>
      <c r="S14" s="6" t="s">
        <v>6</v>
      </c>
      <c r="T14" s="52">
        <v>678.42022800000007</v>
      </c>
      <c r="U14" s="54">
        <v>206.785</v>
      </c>
      <c r="V14" s="9">
        <v>0.42273483407612999</v>
      </c>
      <c r="W14" s="9">
        <v>-1.1033807134455</v>
      </c>
      <c r="Z14" s="54"/>
      <c r="AA14" s="9"/>
      <c r="AB14" s="9"/>
    </row>
    <row r="15" spans="1:28" ht="13" x14ac:dyDescent="0.3">
      <c r="A15" s="6" t="s">
        <v>2</v>
      </c>
      <c r="B15" s="8">
        <v>663.55</v>
      </c>
      <c r="C15" s="7">
        <v>202.24017067967</v>
      </c>
      <c r="D15" s="7">
        <v>-2.1314067839239002</v>
      </c>
      <c r="E15" s="7">
        <v>-3.4755998631718001</v>
      </c>
      <c r="F15" s="5"/>
      <c r="G15" s="6" t="s">
        <v>0</v>
      </c>
      <c r="H15" s="8">
        <v>673.05</v>
      </c>
      <c r="I15" s="7">
        <v>205.13562938128999</v>
      </c>
      <c r="J15" s="7">
        <v>3.1119304714394</v>
      </c>
      <c r="K15" s="7">
        <v>-2.8868686426906001</v>
      </c>
      <c r="L15" s="5"/>
      <c r="M15" s="6" t="s">
        <v>1</v>
      </c>
      <c r="N15" s="8">
        <v>659.55</v>
      </c>
      <c r="O15" s="7">
        <v>201.02103017373</v>
      </c>
      <c r="P15" s="7">
        <v>-1.2873256081630999</v>
      </c>
      <c r="Q15" s="7">
        <v>-4.5241157183035003</v>
      </c>
      <c r="S15" s="6" t="s">
        <v>6</v>
      </c>
      <c r="T15" s="52">
        <v>678.08175442560014</v>
      </c>
      <c r="U15" s="54">
        <v>206.68183200000004</v>
      </c>
      <c r="V15" s="9">
        <v>5.8215662969962001E-2</v>
      </c>
      <c r="W15" s="9">
        <v>-1.2598932808604</v>
      </c>
      <c r="Z15" s="54"/>
      <c r="AA15" s="9"/>
      <c r="AB15" s="9"/>
    </row>
    <row r="16" spans="1:28" ht="13" x14ac:dyDescent="0.3">
      <c r="A16" s="6" t="s">
        <v>2</v>
      </c>
      <c r="B16" s="8">
        <v>663.05</v>
      </c>
      <c r="C16" s="7">
        <v>202.08777811643</v>
      </c>
      <c r="D16" s="7">
        <v>-2.2808799231760002</v>
      </c>
      <c r="E16" s="7">
        <v>-3.5987733924573999</v>
      </c>
      <c r="F16" s="5"/>
      <c r="G16" s="6" t="s">
        <v>0</v>
      </c>
      <c r="H16" s="8">
        <v>672.55</v>
      </c>
      <c r="I16" s="7">
        <v>204.98323681804001</v>
      </c>
      <c r="J16" s="7">
        <v>1.9032427401422001</v>
      </c>
      <c r="K16" s="7">
        <v>-2.5757594208954</v>
      </c>
      <c r="L16" s="5"/>
      <c r="M16" s="6" t="s">
        <v>1</v>
      </c>
      <c r="N16" s="8">
        <v>658.55</v>
      </c>
      <c r="O16" s="7">
        <v>200.71624504723999</v>
      </c>
      <c r="P16" s="7">
        <v>-0.97286506918926996</v>
      </c>
      <c r="Q16" s="7">
        <v>-3.7796895091564</v>
      </c>
      <c r="S16" s="6" t="s">
        <v>6</v>
      </c>
      <c r="T16" s="52">
        <v>677.57826054816007</v>
      </c>
      <c r="U16" s="54">
        <v>206.5283652</v>
      </c>
      <c r="V16" s="9">
        <v>-0.46172670605638</v>
      </c>
      <c r="W16" s="9">
        <v>-1.2985723991616001</v>
      </c>
      <c r="Z16" s="54"/>
      <c r="AA16" s="9"/>
      <c r="AB16" s="9"/>
    </row>
    <row r="17" spans="1:28" ht="13" x14ac:dyDescent="0.3">
      <c r="A17" s="6" t="s">
        <v>2</v>
      </c>
      <c r="B17" s="8">
        <v>662.55</v>
      </c>
      <c r="C17" s="7">
        <v>201.93538555318</v>
      </c>
      <c r="D17" s="7">
        <v>-1.8388218769221001</v>
      </c>
      <c r="E17" s="7">
        <v>-3.5016387821149002</v>
      </c>
      <c r="F17" s="5"/>
      <c r="G17" s="6" t="s">
        <v>0</v>
      </c>
      <c r="H17" s="8">
        <v>672.05</v>
      </c>
      <c r="I17" s="7">
        <v>204.83084425480001</v>
      </c>
      <c r="J17" s="7">
        <v>2.4103358687898999</v>
      </c>
      <c r="K17" s="7">
        <v>-2.7693384922346</v>
      </c>
      <c r="L17" s="5"/>
      <c r="M17" s="6" t="s">
        <v>1</v>
      </c>
      <c r="N17" s="8">
        <v>657.05</v>
      </c>
      <c r="O17" s="7">
        <v>200.25906735750999</v>
      </c>
      <c r="P17" s="7">
        <v>-0.99189293619723995</v>
      </c>
      <c r="Q17" s="7">
        <v>-4.0901182522420001</v>
      </c>
      <c r="S17" s="6" t="s">
        <v>6</v>
      </c>
      <c r="T17" s="52">
        <v>677.56722000000002</v>
      </c>
      <c r="U17" s="54">
        <v>206.52500000000001</v>
      </c>
      <c r="V17" s="9">
        <v>-0.49215715218439998</v>
      </c>
      <c r="W17" s="9">
        <v>-1.4367687120956001</v>
      </c>
      <c r="Z17" s="54"/>
      <c r="AA17" s="9"/>
      <c r="AB17" s="9"/>
    </row>
    <row r="18" spans="1:28" ht="13" x14ac:dyDescent="0.3">
      <c r="A18" s="6" t="s">
        <v>2</v>
      </c>
      <c r="B18" s="8">
        <v>662.05</v>
      </c>
      <c r="C18" s="7">
        <v>201.78299298994</v>
      </c>
      <c r="D18" s="7">
        <v>-2.1141959070413998</v>
      </c>
      <c r="E18" s="7">
        <v>-3.7860638967236002</v>
      </c>
      <c r="F18" s="5"/>
      <c r="G18" s="6" t="s">
        <v>0</v>
      </c>
      <c r="H18" s="8">
        <v>671.55</v>
      </c>
      <c r="I18" s="7">
        <v>204.67845169156001</v>
      </c>
      <c r="J18" s="7">
        <v>1.7891219773349001</v>
      </c>
      <c r="K18" s="7">
        <v>-2.7930420519903998</v>
      </c>
      <c r="L18" s="5"/>
      <c r="M18" s="6" t="s">
        <v>1</v>
      </c>
      <c r="N18" s="8">
        <v>656.05</v>
      </c>
      <c r="O18" s="7">
        <v>199.95428223102999</v>
      </c>
      <c r="P18" s="7">
        <v>-1.5487084128515001</v>
      </c>
      <c r="Q18" s="7">
        <v>-3.6872641228654999</v>
      </c>
      <c r="S18" s="6" t="s">
        <v>6</v>
      </c>
      <c r="T18" s="52">
        <v>677.43676226880007</v>
      </c>
      <c r="U18" s="54">
        <v>206.48523600000001</v>
      </c>
      <c r="V18" s="9">
        <v>-0.60416302554060997</v>
      </c>
      <c r="W18" s="9">
        <v>-1.367996457651</v>
      </c>
      <c r="Z18" s="54"/>
      <c r="AA18" s="9"/>
      <c r="AB18" s="9"/>
    </row>
    <row r="19" spans="1:28" ht="13" x14ac:dyDescent="0.3">
      <c r="A19" s="6" t="s">
        <v>2</v>
      </c>
      <c r="B19" s="8">
        <v>661.55</v>
      </c>
      <c r="C19" s="7">
        <v>201.6306004267</v>
      </c>
      <c r="D19" s="7">
        <v>-1.8577359556796</v>
      </c>
      <c r="E19" s="7">
        <v>-2.8362117047829001</v>
      </c>
      <c r="F19" s="5"/>
      <c r="G19" s="6" t="s">
        <v>0</v>
      </c>
      <c r="H19" s="8">
        <v>670.95</v>
      </c>
      <c r="I19" s="7">
        <v>204.49558061567001</v>
      </c>
      <c r="J19" s="7">
        <v>1.6372917450783999</v>
      </c>
      <c r="K19" s="7">
        <v>-2.4582292704394</v>
      </c>
      <c r="L19" s="5"/>
      <c r="M19" s="6" t="s">
        <v>1</v>
      </c>
      <c r="N19" s="8">
        <v>655.04999999999995</v>
      </c>
      <c r="O19" s="7">
        <v>199.64949710453999</v>
      </c>
      <c r="P19" s="7">
        <v>-1.0760161377062001</v>
      </c>
      <c r="Q19" s="7">
        <v>-4.1564234206680997</v>
      </c>
      <c r="S19" s="6" t="s">
        <v>6</v>
      </c>
      <c r="T19" s="52">
        <v>676.76177047680005</v>
      </c>
      <c r="U19" s="54">
        <v>206.27949599999999</v>
      </c>
      <c r="V19" s="9">
        <v>-0.64500141084728002</v>
      </c>
      <c r="W19" s="9">
        <v>-1.3501445568966</v>
      </c>
      <c r="Z19" s="54"/>
      <c r="AA19" s="9"/>
      <c r="AB19" s="9"/>
    </row>
    <row r="20" spans="1:28" ht="13" x14ac:dyDescent="0.3">
      <c r="A20" s="6" t="s">
        <v>2</v>
      </c>
      <c r="B20" s="8">
        <v>660.55</v>
      </c>
      <c r="C20" s="7">
        <v>201.32581530021</v>
      </c>
      <c r="D20" s="7">
        <v>-2.0969850301589998</v>
      </c>
      <c r="E20" s="7">
        <v>-3.6428498425367999</v>
      </c>
      <c r="F20" s="5"/>
      <c r="G20" s="6" t="s">
        <v>0</v>
      </c>
      <c r="H20" s="8">
        <v>670.45</v>
      </c>
      <c r="I20" s="7">
        <v>204.34318805242</v>
      </c>
      <c r="J20" s="7">
        <v>2.6792639272312</v>
      </c>
      <c r="K20" s="7">
        <v>-3.2967426968017</v>
      </c>
      <c r="L20" s="5"/>
      <c r="M20" s="6" t="s">
        <v>1</v>
      </c>
      <c r="N20" s="8">
        <v>654.54999999999995</v>
      </c>
      <c r="O20" s="7">
        <v>199.49710454129999</v>
      </c>
      <c r="P20" s="7">
        <v>-0.34294252455701002</v>
      </c>
      <c r="Q20" s="7">
        <v>-3.8198744597176</v>
      </c>
      <c r="S20" s="6" t="s">
        <v>6</v>
      </c>
      <c r="T20" s="52">
        <v>675.91041600000005</v>
      </c>
      <c r="U20" s="54">
        <v>206.02</v>
      </c>
      <c r="V20" s="9">
        <v>-4.0222556561729003E-2</v>
      </c>
      <c r="W20" s="9">
        <v>-1.0734356836265999</v>
      </c>
      <c r="Z20" s="54"/>
      <c r="AA20" s="9"/>
      <c r="AB20" s="9"/>
    </row>
    <row r="21" spans="1:28" ht="13" x14ac:dyDescent="0.3">
      <c r="A21" s="6" t="s">
        <v>2</v>
      </c>
      <c r="B21" s="8">
        <v>659.05</v>
      </c>
      <c r="C21" s="7">
        <v>200.86863761047999</v>
      </c>
      <c r="D21" s="7">
        <v>-1.7466930653749</v>
      </c>
      <c r="E21" s="7">
        <v>-2.656375413348</v>
      </c>
      <c r="F21" s="5"/>
      <c r="G21" s="6" t="s">
        <v>0</v>
      </c>
      <c r="H21" s="8">
        <v>664.55</v>
      </c>
      <c r="I21" s="7">
        <v>202.54495580616</v>
      </c>
      <c r="J21" s="7">
        <v>-0.84260204844530995</v>
      </c>
      <c r="K21" s="7">
        <v>-4.2764898333756998</v>
      </c>
      <c r="L21" s="5"/>
      <c r="M21" s="6" t="s">
        <v>1</v>
      </c>
      <c r="N21" s="8">
        <v>653.54999999999995</v>
      </c>
      <c r="O21" s="7">
        <v>199.19231941480999</v>
      </c>
      <c r="P21" s="7">
        <v>-1.0159281366284001</v>
      </c>
      <c r="Q21" s="7">
        <v>-3.5727370137659999</v>
      </c>
      <c r="S21" s="6" t="s">
        <v>6</v>
      </c>
      <c r="T21" s="52">
        <v>675.841781664</v>
      </c>
      <c r="U21" s="54">
        <v>205.99907999999999</v>
      </c>
      <c r="V21" s="9">
        <v>-0.61910389821377998</v>
      </c>
      <c r="W21" s="9">
        <v>-1.2321236574647001</v>
      </c>
      <c r="Z21" s="54"/>
      <c r="AA21" s="9"/>
      <c r="AB21" s="9"/>
    </row>
    <row r="22" spans="1:28" ht="13" x14ac:dyDescent="0.3">
      <c r="A22" s="6" t="s">
        <v>2</v>
      </c>
      <c r="B22" s="8">
        <v>658.05</v>
      </c>
      <c r="C22" s="7">
        <v>200.56385248399999</v>
      </c>
      <c r="D22" s="7">
        <v>-2.4796739396629999</v>
      </c>
      <c r="E22" s="7">
        <v>-3.2212196550357999</v>
      </c>
      <c r="F22" s="5"/>
      <c r="G22" s="6" t="s">
        <v>0</v>
      </c>
      <c r="H22" s="8">
        <v>664.05</v>
      </c>
      <c r="I22" s="7">
        <v>202.39256324291</v>
      </c>
      <c r="J22" s="7">
        <v>-0.94977633003816997</v>
      </c>
      <c r="K22" s="7">
        <v>-4.1303178815481001</v>
      </c>
      <c r="L22" s="5"/>
      <c r="M22" s="6" t="s">
        <v>1</v>
      </c>
      <c r="N22" s="8">
        <v>652.04999999999995</v>
      </c>
      <c r="O22" s="7">
        <v>198.73514172508001</v>
      </c>
      <c r="P22" s="7">
        <v>-0.96385186902760001</v>
      </c>
      <c r="Q22" s="7">
        <v>-3.9042628558961998</v>
      </c>
      <c r="S22" s="6" t="s">
        <v>6</v>
      </c>
      <c r="T22" s="52">
        <v>675.24178896000001</v>
      </c>
      <c r="U22" s="54">
        <v>205.81620000000001</v>
      </c>
      <c r="V22" s="9">
        <v>-0.39299869175980001</v>
      </c>
      <c r="W22" s="9">
        <v>-1.1448476982208999</v>
      </c>
      <c r="Z22" s="54"/>
      <c r="AA22" s="9"/>
      <c r="AB22" s="9"/>
    </row>
    <row r="23" spans="1:28" ht="13" x14ac:dyDescent="0.3">
      <c r="A23" s="6" t="s">
        <v>2</v>
      </c>
      <c r="B23" s="8">
        <v>657.05</v>
      </c>
      <c r="C23" s="7">
        <v>200.25906735750999</v>
      </c>
      <c r="D23" s="7">
        <v>-2.1516548743738002</v>
      </c>
      <c r="E23" s="7">
        <v>-3.7820579091939002</v>
      </c>
      <c r="F23" s="5"/>
      <c r="G23" s="6" t="s">
        <v>0</v>
      </c>
      <c r="H23" s="8">
        <v>663.55</v>
      </c>
      <c r="I23" s="7">
        <v>202.24017067967</v>
      </c>
      <c r="J23" s="7">
        <v>-1.1293924871520999</v>
      </c>
      <c r="K23" s="7">
        <v>-4.1125402117313001</v>
      </c>
      <c r="L23" s="5"/>
      <c r="M23" s="6" t="s">
        <v>1</v>
      </c>
      <c r="N23" s="8">
        <v>651.04999999999995</v>
      </c>
      <c r="O23" s="7">
        <v>198.43035659860001</v>
      </c>
      <c r="P23" s="7">
        <v>-0.51819919436726003</v>
      </c>
      <c r="Q23" s="7">
        <v>-4.3292187080813997</v>
      </c>
      <c r="S23" s="6" t="s">
        <v>6</v>
      </c>
      <c r="T23" s="52">
        <v>674.81134800000007</v>
      </c>
      <c r="U23" s="54">
        <v>205.685</v>
      </c>
      <c r="V23" s="9">
        <v>0.23033695744741001</v>
      </c>
      <c r="W23" s="9">
        <v>-1.3748823171366</v>
      </c>
      <c r="Z23" s="54"/>
      <c r="AA23" s="9"/>
      <c r="AB23" s="9"/>
    </row>
    <row r="24" spans="1:28" ht="13" x14ac:dyDescent="0.3">
      <c r="A24" s="6" t="s">
        <v>2</v>
      </c>
      <c r="B24" s="8">
        <v>656.55</v>
      </c>
      <c r="C24" s="7">
        <v>200.10667479426999</v>
      </c>
      <c r="D24" s="7">
        <v>-2.3156644070183998</v>
      </c>
      <c r="E24" s="7">
        <v>-3.2122061830940001</v>
      </c>
      <c r="F24" s="5"/>
      <c r="G24" s="6" t="s">
        <v>0</v>
      </c>
      <c r="H24" s="8">
        <v>663.05</v>
      </c>
      <c r="I24" s="7">
        <v>202.08777811643</v>
      </c>
      <c r="J24" s="7">
        <v>-1.1651172476831</v>
      </c>
      <c r="K24" s="7">
        <v>-4.5747596269697999</v>
      </c>
      <c r="L24" s="5"/>
      <c r="M24" s="6" t="s">
        <v>1</v>
      </c>
      <c r="N24" s="8">
        <v>650.54999999999995</v>
      </c>
      <c r="O24" s="7">
        <v>198.27796403535999</v>
      </c>
      <c r="P24" s="7">
        <v>-0.92770755608237998</v>
      </c>
      <c r="Q24" s="7">
        <v>-3.9019860202054</v>
      </c>
      <c r="S24" s="6" t="s">
        <v>6</v>
      </c>
      <c r="T24" s="52">
        <v>674.6517961344</v>
      </c>
      <c r="U24" s="54">
        <v>205.636368</v>
      </c>
      <c r="V24" s="9">
        <v>0.25643124043402998</v>
      </c>
      <c r="W24" s="9">
        <v>-1.1448476982208999</v>
      </c>
      <c r="Z24" s="54"/>
      <c r="AA24" s="9"/>
      <c r="AB24" s="9"/>
    </row>
    <row r="25" spans="1:28" ht="13" x14ac:dyDescent="0.3">
      <c r="A25" s="6" t="s">
        <v>2</v>
      </c>
      <c r="B25" s="8">
        <v>656.05</v>
      </c>
      <c r="C25" s="7">
        <v>199.95428223102999</v>
      </c>
      <c r="D25" s="7">
        <v>-2.0595260628265999</v>
      </c>
      <c r="E25" s="7">
        <v>-3.6758992396568999</v>
      </c>
      <c r="F25" s="5"/>
      <c r="G25" s="6" t="s">
        <v>0</v>
      </c>
      <c r="H25" s="8">
        <v>662.55</v>
      </c>
      <c r="I25" s="7">
        <v>201.93538555318</v>
      </c>
      <c r="J25" s="7">
        <v>-1.3318327968275001</v>
      </c>
      <c r="K25" s="7">
        <v>-4.4601924214833</v>
      </c>
      <c r="L25" s="5"/>
      <c r="M25" s="6" t="s">
        <v>1</v>
      </c>
      <c r="N25" s="8">
        <v>647.04999999999995</v>
      </c>
      <c r="O25" s="7">
        <v>197.21121609265001</v>
      </c>
      <c r="P25" s="7">
        <v>-0.92062639526669998</v>
      </c>
      <c r="Q25" s="7">
        <v>-3.9282038070968999</v>
      </c>
      <c r="S25" s="6" t="s">
        <v>6</v>
      </c>
      <c r="T25" s="52">
        <v>673.85180586240017</v>
      </c>
      <c r="U25" s="54">
        <v>205.39252800000003</v>
      </c>
      <c r="V25" s="9">
        <v>1.3266040253214999</v>
      </c>
      <c r="W25" s="9">
        <v>-1.1842322939564001</v>
      </c>
      <c r="Z25" s="54"/>
      <c r="AA25" s="9"/>
      <c r="AB25" s="9"/>
    </row>
    <row r="26" spans="1:28" ht="13" x14ac:dyDescent="0.3">
      <c r="A26" s="6" t="s">
        <v>2</v>
      </c>
      <c r="B26" s="8">
        <v>655.65</v>
      </c>
      <c r="C26" s="7">
        <v>199.83236818043</v>
      </c>
      <c r="D26" s="7">
        <v>-2.3804582964582002</v>
      </c>
      <c r="E26" s="7">
        <v>-3.492625310173</v>
      </c>
      <c r="F26" s="5"/>
      <c r="G26" s="6" t="s">
        <v>0</v>
      </c>
      <c r="H26" s="8">
        <v>662.05</v>
      </c>
      <c r="I26" s="7">
        <v>201.78299298994</v>
      </c>
      <c r="J26" s="7">
        <v>-1.2474826677961</v>
      </c>
      <c r="K26" s="7">
        <v>-4.0957501902375997</v>
      </c>
      <c r="L26" s="5"/>
      <c r="M26" s="6" t="s">
        <v>1</v>
      </c>
      <c r="N26" s="8">
        <v>646.15</v>
      </c>
      <c r="O26" s="7">
        <v>196.93690947882001</v>
      </c>
      <c r="P26" s="7">
        <v>-0.87409305276363003</v>
      </c>
      <c r="Q26" s="7">
        <v>-4.0542508594599997</v>
      </c>
      <c r="S26" s="6" t="s">
        <v>6</v>
      </c>
      <c r="T26" s="52">
        <v>672.76681905600003</v>
      </c>
      <c r="U26" s="54">
        <v>205.06182000000001</v>
      </c>
      <c r="V26" s="9">
        <v>0.42078083983891001</v>
      </c>
      <c r="W26" s="9">
        <v>-1.4255192489707</v>
      </c>
      <c r="Z26" s="54"/>
      <c r="AA26" s="9"/>
      <c r="AB26" s="9"/>
    </row>
    <row r="27" spans="1:28" ht="13" x14ac:dyDescent="0.3">
      <c r="A27" s="6" t="s">
        <v>2</v>
      </c>
      <c r="B27" s="8">
        <v>655.04999999999995</v>
      </c>
      <c r="C27" s="7">
        <v>199.64949710453999</v>
      </c>
      <c r="D27" s="7">
        <v>-2.5019468391578998</v>
      </c>
      <c r="E27" s="7">
        <v>-4.0204141672110998</v>
      </c>
      <c r="F27" s="5"/>
      <c r="G27" s="6" t="s">
        <v>0</v>
      </c>
      <c r="H27" s="8">
        <v>661.55</v>
      </c>
      <c r="I27" s="7">
        <v>201.6306004267</v>
      </c>
      <c r="J27" s="7">
        <v>-1.6235850078303</v>
      </c>
      <c r="K27" s="7">
        <v>-4.5392042873360996</v>
      </c>
      <c r="L27" s="5"/>
      <c r="M27" s="6" t="s">
        <v>1</v>
      </c>
      <c r="N27" s="8">
        <v>645.04999999999995</v>
      </c>
      <c r="O27" s="7">
        <v>196.60164583968</v>
      </c>
      <c r="P27" s="7">
        <v>-0.72134229802532002</v>
      </c>
      <c r="Q27" s="7">
        <v>-4.3275208689833002</v>
      </c>
      <c r="S27" s="6" t="s">
        <v>6</v>
      </c>
      <c r="T27" s="52">
        <v>670.8618422208001</v>
      </c>
      <c r="U27" s="54">
        <v>204.481176</v>
      </c>
      <c r="V27" s="9">
        <v>0.16080965532572999</v>
      </c>
      <c r="W27" s="9">
        <v>-1.4473382387817</v>
      </c>
      <c r="Z27" s="54"/>
      <c r="AA27" s="9"/>
      <c r="AB27" s="9"/>
    </row>
    <row r="28" spans="1:28" ht="13" x14ac:dyDescent="0.3">
      <c r="A28" s="6" t="s">
        <v>2</v>
      </c>
      <c r="B28" s="8">
        <v>654.54999999999995</v>
      </c>
      <c r="C28" s="7">
        <v>199.49710454129999</v>
      </c>
      <c r="D28" s="7">
        <v>-2.4371529497180999</v>
      </c>
      <c r="E28" s="7">
        <v>-3.4846133351135999</v>
      </c>
      <c r="F28" s="5"/>
      <c r="G28" s="6" t="s">
        <v>0</v>
      </c>
      <c r="H28" s="8">
        <v>661.05</v>
      </c>
      <c r="I28" s="7">
        <v>201.47820786346</v>
      </c>
      <c r="J28" s="7">
        <v>-1.0251952689368999</v>
      </c>
      <c r="K28" s="7">
        <v>-4.3456252159969004</v>
      </c>
      <c r="L28" s="5"/>
      <c r="M28" s="6" t="s">
        <v>1</v>
      </c>
      <c r="N28" s="8">
        <v>642.04999999999995</v>
      </c>
      <c r="O28" s="7">
        <v>195.68729046023</v>
      </c>
      <c r="P28" s="7">
        <v>-0.66064663389088996</v>
      </c>
      <c r="Q28" s="7">
        <v>-3.9876980158122999</v>
      </c>
      <c r="S28" s="6" t="s">
        <v>6</v>
      </c>
      <c r="T28" s="52">
        <v>669.38686015680003</v>
      </c>
      <c r="U28" s="54">
        <v>204.03159600000001</v>
      </c>
      <c r="V28" s="9">
        <v>-0.52945866217476001</v>
      </c>
      <c r="W28" s="9">
        <v>-2.102899705374</v>
      </c>
      <c r="Z28" s="54"/>
      <c r="AA28" s="9"/>
      <c r="AB28" s="9"/>
    </row>
    <row r="29" spans="1:28" ht="13" x14ac:dyDescent="0.3">
      <c r="A29" s="6" t="s">
        <v>2</v>
      </c>
      <c r="B29" s="8">
        <v>654.04999999999995</v>
      </c>
      <c r="C29" s="7">
        <v>199.34471197805999</v>
      </c>
      <c r="D29" s="7">
        <v>-2.0919230075464998</v>
      </c>
      <c r="E29" s="7">
        <v>-3.2602780334503998</v>
      </c>
      <c r="F29" s="5"/>
      <c r="G29" s="6" t="s">
        <v>0</v>
      </c>
      <c r="H29" s="8">
        <v>660.55</v>
      </c>
      <c r="I29" s="7">
        <v>201.32581530021</v>
      </c>
      <c r="J29" s="7">
        <v>-1.4290835338285</v>
      </c>
      <c r="K29" s="7">
        <v>-4.2438974387114996</v>
      </c>
      <c r="L29" s="5"/>
      <c r="M29" s="6" t="s">
        <v>1</v>
      </c>
      <c r="N29" s="8">
        <v>641.45000000000005</v>
      </c>
      <c r="O29" s="7">
        <v>195.50441938432999</v>
      </c>
      <c r="P29" s="7">
        <v>-0.73145824204772003</v>
      </c>
      <c r="Q29" s="7">
        <v>-3.7719054621665999</v>
      </c>
      <c r="S29" s="6" t="s">
        <v>6</v>
      </c>
      <c r="T29" s="52">
        <v>618.92747375040005</v>
      </c>
      <c r="U29" s="54">
        <v>188.651388</v>
      </c>
      <c r="V29" s="9">
        <v>-0.46770305512565002</v>
      </c>
      <c r="W29" s="9">
        <v>-1.531638881233</v>
      </c>
      <c r="Z29" s="54"/>
      <c r="AA29" s="9"/>
      <c r="AB29" s="9"/>
    </row>
    <row r="30" spans="1:28" ht="13" x14ac:dyDescent="0.3">
      <c r="A30" s="6" t="s">
        <v>2</v>
      </c>
      <c r="B30" s="8">
        <v>653.54999999999995</v>
      </c>
      <c r="C30" s="7">
        <v>199.19231941480999</v>
      </c>
      <c r="D30" s="7">
        <v>-2.0200422864492</v>
      </c>
      <c r="E30" s="7">
        <v>-3.7329845619550999</v>
      </c>
      <c r="F30" s="5"/>
      <c r="G30" s="6" t="s">
        <v>0</v>
      </c>
      <c r="H30" s="8">
        <v>660.05</v>
      </c>
      <c r="I30" s="7">
        <v>201.17342273697</v>
      </c>
      <c r="J30" s="7">
        <v>-1.2117579072652001</v>
      </c>
      <c r="K30" s="7">
        <v>-4.1164908050238997</v>
      </c>
      <c r="L30" s="5"/>
      <c r="M30" s="6" t="s">
        <v>1</v>
      </c>
      <c r="N30" s="8">
        <v>636.04999999999995</v>
      </c>
      <c r="O30" s="7">
        <v>193.85857970130999</v>
      </c>
      <c r="P30" s="7">
        <v>-0.41482919414644998</v>
      </c>
      <c r="Q30" s="7">
        <v>-3.8596342106114001</v>
      </c>
      <c r="S30" s="6" t="s">
        <v>6</v>
      </c>
      <c r="T30" s="52">
        <v>617.17749503040011</v>
      </c>
      <c r="U30" s="54">
        <v>188.11798800000003</v>
      </c>
      <c r="V30" s="9">
        <v>-0.43782130977931</v>
      </c>
      <c r="W30" s="9">
        <v>-1.4770914067056999</v>
      </c>
      <c r="Z30" s="54"/>
      <c r="AA30" s="9"/>
      <c r="AB30" s="9"/>
    </row>
    <row r="31" spans="1:28" ht="13" x14ac:dyDescent="0.3">
      <c r="A31" s="6" t="s">
        <v>2</v>
      </c>
      <c r="B31" s="8">
        <v>653.04999999999995</v>
      </c>
      <c r="C31" s="7">
        <v>199.03992685156999</v>
      </c>
      <c r="D31" s="7">
        <v>-2.1091338844288998</v>
      </c>
      <c r="E31" s="7">
        <v>-3.5567211106482999</v>
      </c>
      <c r="F31" s="5"/>
      <c r="G31" s="6" t="s">
        <v>0</v>
      </c>
      <c r="H31" s="8">
        <v>659.55</v>
      </c>
      <c r="I31" s="7">
        <v>201.02103017373</v>
      </c>
      <c r="J31" s="7">
        <v>-1.8170941273729999</v>
      </c>
      <c r="K31" s="7">
        <v>-3.8883440423740998</v>
      </c>
      <c r="L31" s="5"/>
      <c r="M31" s="6" t="s">
        <v>1</v>
      </c>
      <c r="N31" s="8">
        <v>633.35</v>
      </c>
      <c r="O31" s="7">
        <v>193.03565985980001</v>
      </c>
      <c r="P31" s="7">
        <v>-0.14675667755272001</v>
      </c>
      <c r="Q31" s="7">
        <v>-4.3134035991186996</v>
      </c>
      <c r="S31" s="6" t="s">
        <v>6</v>
      </c>
      <c r="T31" s="52">
        <v>613.73753686080011</v>
      </c>
      <c r="U31" s="54">
        <v>187.06947600000001</v>
      </c>
      <c r="V31" s="9">
        <v>-1.0484049730228999</v>
      </c>
      <c r="W31" s="9">
        <v>-2.2020769317873001</v>
      </c>
      <c r="Z31" s="54"/>
      <c r="AA31" s="9"/>
      <c r="AB31" s="9"/>
    </row>
    <row r="32" spans="1:28" ht="13" x14ac:dyDescent="0.3">
      <c r="A32" s="6" t="s">
        <v>2</v>
      </c>
      <c r="B32" s="8">
        <v>652.6</v>
      </c>
      <c r="C32" s="7">
        <v>198.90277354464999</v>
      </c>
      <c r="D32" s="7">
        <v>-2.2022751004986998</v>
      </c>
      <c r="E32" s="7">
        <v>-3.6939261835405</v>
      </c>
      <c r="F32" s="5"/>
      <c r="G32" s="6" t="s">
        <v>0</v>
      </c>
      <c r="H32" s="8">
        <v>659.05</v>
      </c>
      <c r="I32" s="7">
        <v>200.86863761047999</v>
      </c>
      <c r="J32" s="7">
        <v>-1.3903817099199001</v>
      </c>
      <c r="K32" s="7">
        <v>-4.0977254868838999</v>
      </c>
      <c r="L32" s="5"/>
      <c r="M32" s="6" t="s">
        <v>1</v>
      </c>
      <c r="N32" s="8">
        <v>626.04999999999995</v>
      </c>
      <c r="O32" s="7">
        <v>190.81072843645001</v>
      </c>
      <c r="P32" s="7">
        <v>0.77682901169285001</v>
      </c>
      <c r="Q32" s="7">
        <v>-3.3463706133886002</v>
      </c>
    </row>
    <row r="33" spans="1:17" ht="13" x14ac:dyDescent="0.3">
      <c r="A33" s="6" t="s">
        <v>2</v>
      </c>
      <c r="B33" s="8">
        <v>652.04999999999995</v>
      </c>
      <c r="C33" s="7">
        <v>198.73514172508001</v>
      </c>
      <c r="D33" s="7">
        <v>-2.2711186080285</v>
      </c>
      <c r="E33" s="7">
        <v>-3.5677375763549</v>
      </c>
      <c r="F33" s="5"/>
      <c r="G33" s="6" t="s">
        <v>0</v>
      </c>
      <c r="H33" s="8">
        <v>658.05</v>
      </c>
      <c r="I33" s="7">
        <v>200.56385248399999</v>
      </c>
      <c r="J33" s="7">
        <v>-1.4380147239612</v>
      </c>
      <c r="K33" s="7">
        <v>-4.4029088187400998</v>
      </c>
      <c r="L33" s="5"/>
      <c r="M33" s="6" t="s">
        <v>1</v>
      </c>
      <c r="N33" s="8">
        <v>619.04999999999995</v>
      </c>
      <c r="O33" s="7">
        <v>188.67723255105</v>
      </c>
      <c r="P33" s="7">
        <v>1.3241015833050001</v>
      </c>
      <c r="Q33" s="7">
        <v>-3.5843474482501998</v>
      </c>
    </row>
    <row r="34" spans="1:17" ht="13" x14ac:dyDescent="0.3">
      <c r="A34" s="6" t="s">
        <v>2</v>
      </c>
      <c r="B34" s="8">
        <v>651.54999999999995</v>
      </c>
      <c r="C34" s="7">
        <v>198.58274916184001</v>
      </c>
      <c r="D34" s="7">
        <v>-2.2903542939560002</v>
      </c>
      <c r="E34" s="7">
        <v>-3.2642840209800998</v>
      </c>
      <c r="F34" s="5"/>
      <c r="G34" s="6" t="s">
        <v>0</v>
      </c>
      <c r="H34" s="8">
        <v>656.55</v>
      </c>
      <c r="I34" s="7">
        <v>200.10667479426999</v>
      </c>
      <c r="J34" s="7">
        <v>-1.1988572992957001</v>
      </c>
      <c r="K34" s="7">
        <v>-4.0108124344459002</v>
      </c>
      <c r="L34" s="5"/>
      <c r="M34" s="6" t="s">
        <v>1</v>
      </c>
      <c r="N34" s="8">
        <v>617.54999999999995</v>
      </c>
      <c r="O34" s="7">
        <v>188.22005486131999</v>
      </c>
      <c r="P34" s="7">
        <v>2.4297742649537999</v>
      </c>
      <c r="Q34" s="7">
        <v>-3.6700594438572001</v>
      </c>
    </row>
    <row r="35" spans="1:17" ht="13" x14ac:dyDescent="0.3">
      <c r="A35" s="6" t="s">
        <v>2</v>
      </c>
      <c r="B35" s="8">
        <v>651.04999999999995</v>
      </c>
      <c r="C35" s="7">
        <v>198.43035659860001</v>
      </c>
      <c r="D35" s="7">
        <v>-2.4000979317901998</v>
      </c>
      <c r="E35" s="7">
        <v>-3.5430399955696998</v>
      </c>
      <c r="F35" s="5"/>
      <c r="G35" s="6" t="s">
        <v>0</v>
      </c>
      <c r="H35" s="8">
        <v>655.65</v>
      </c>
      <c r="I35" s="7">
        <v>199.83236818043</v>
      </c>
      <c r="J35" s="7">
        <v>-0.98536843701009003</v>
      </c>
      <c r="K35" s="7">
        <v>-3.7547630630451998</v>
      </c>
      <c r="L35" s="5"/>
      <c r="M35" s="6" t="s">
        <v>1</v>
      </c>
      <c r="N35" s="8">
        <v>609.15</v>
      </c>
      <c r="O35" s="7">
        <v>185.65985979883999</v>
      </c>
      <c r="P35" s="7">
        <v>1.6700668688711999</v>
      </c>
      <c r="Q35" s="7">
        <v>-3.1013351435946999</v>
      </c>
    </row>
    <row r="36" spans="1:17" ht="13" x14ac:dyDescent="0.3">
      <c r="A36" s="6" t="s">
        <v>2</v>
      </c>
      <c r="B36" s="8">
        <v>650.54999999999995</v>
      </c>
      <c r="C36" s="7">
        <v>198.27796403535999</v>
      </c>
      <c r="D36" s="7">
        <v>-2.3591978014857999</v>
      </c>
      <c r="E36" s="7">
        <v>-3.5246732104106</v>
      </c>
      <c r="F36" s="5"/>
      <c r="G36" s="6" t="s">
        <v>0</v>
      </c>
      <c r="H36" s="8">
        <v>654.65</v>
      </c>
      <c r="I36" s="7">
        <v>199.52758305395</v>
      </c>
      <c r="J36" s="7">
        <v>-1.8128526580427999</v>
      </c>
      <c r="K36" s="7">
        <v>-3.8132488953417001</v>
      </c>
      <c r="L36" s="5"/>
      <c r="M36" s="5"/>
      <c r="N36" s="5"/>
      <c r="O36" s="5"/>
      <c r="P36" s="5"/>
      <c r="Q36" s="5"/>
    </row>
    <row r="37" spans="1:17" ht="13" x14ac:dyDescent="0.3">
      <c r="A37" s="6" t="s">
        <v>2</v>
      </c>
      <c r="B37" s="8">
        <v>650.15</v>
      </c>
      <c r="C37" s="7">
        <v>198.15604998475999</v>
      </c>
      <c r="D37" s="7">
        <v>-2.3642598240982999</v>
      </c>
      <c r="E37" s="7">
        <v>-3.4806073475838999</v>
      </c>
      <c r="F37" s="5"/>
      <c r="G37" s="6" t="s">
        <v>0</v>
      </c>
      <c r="H37" s="8">
        <v>653.04999999999995</v>
      </c>
      <c r="I37" s="7">
        <v>199.03992685156999</v>
      </c>
      <c r="J37" s="7">
        <v>-1.5720931903096</v>
      </c>
      <c r="K37" s="7">
        <v>-4.3708810549962998</v>
      </c>
      <c r="L37" s="5"/>
      <c r="M37" s="5"/>
      <c r="N37" s="5"/>
      <c r="O37" s="5"/>
      <c r="P37" s="5"/>
      <c r="Q37" s="5"/>
    </row>
    <row r="38" spans="1:17" ht="13" x14ac:dyDescent="0.3">
      <c r="A38" s="6" t="s">
        <v>2</v>
      </c>
      <c r="B38" s="8">
        <v>649.04999999999995</v>
      </c>
      <c r="C38" s="7">
        <v>197.82078634563001</v>
      </c>
      <c r="D38" s="7">
        <v>-2.6659563718024999</v>
      </c>
      <c r="E38" s="7">
        <v>-3.2833124617462</v>
      </c>
      <c r="F38" s="5"/>
      <c r="G38" s="6" t="s">
        <v>0</v>
      </c>
      <c r="H38" s="8">
        <v>652.04999999999995</v>
      </c>
      <c r="I38" s="7">
        <v>198.73514172508001</v>
      </c>
      <c r="J38" s="7">
        <v>-1.0235794216758001</v>
      </c>
      <c r="K38" s="7">
        <v>-4.1024911191497999</v>
      </c>
      <c r="L38" s="5"/>
      <c r="M38" s="5"/>
      <c r="N38" s="5"/>
      <c r="O38" s="5"/>
      <c r="P38" s="5"/>
      <c r="Q38" s="5"/>
    </row>
    <row r="39" spans="1:17" ht="13" x14ac:dyDescent="0.3">
      <c r="A39" s="6" t="s">
        <v>2</v>
      </c>
      <c r="B39" s="8">
        <v>647.04999999999995</v>
      </c>
      <c r="C39" s="7">
        <v>197.21121609265001</v>
      </c>
      <c r="D39" s="7">
        <v>-1.8520420962821</v>
      </c>
      <c r="E39" s="7">
        <v>-3.252595078598</v>
      </c>
      <c r="F39" s="5"/>
      <c r="G39" s="6" t="s">
        <v>0</v>
      </c>
      <c r="H39" s="8">
        <v>651.04999999999995</v>
      </c>
      <c r="I39" s="7">
        <v>198.43035659860001</v>
      </c>
      <c r="J39" s="7">
        <v>-1.8357777267788</v>
      </c>
      <c r="K39" s="7">
        <v>-3.9907721469727999</v>
      </c>
      <c r="L39" s="5"/>
      <c r="M39" s="5"/>
      <c r="N39" s="5"/>
      <c r="O39" s="5"/>
      <c r="P39" s="5"/>
      <c r="Q39" s="5"/>
    </row>
    <row r="40" spans="1:17" ht="13" x14ac:dyDescent="0.3">
      <c r="A40" s="6" t="s">
        <v>2</v>
      </c>
      <c r="B40" s="8">
        <v>646.15</v>
      </c>
      <c r="C40" s="7">
        <v>196.93690947882001</v>
      </c>
      <c r="D40" s="7">
        <v>-2.3268568431326999</v>
      </c>
      <c r="E40" s="7">
        <v>-3.2685863423331001</v>
      </c>
      <c r="F40" s="5"/>
      <c r="G40" s="6" t="s">
        <v>0</v>
      </c>
      <c r="H40" s="8">
        <v>650.15</v>
      </c>
      <c r="I40" s="7">
        <v>198.15604998475999</v>
      </c>
      <c r="J40" s="7">
        <v>-1.1985611237714999</v>
      </c>
      <c r="K40" s="7">
        <v>-3.7361334085874001</v>
      </c>
      <c r="L40" s="5"/>
      <c r="M40" s="5"/>
      <c r="N40" s="5"/>
      <c r="O40" s="5"/>
      <c r="P40" s="5"/>
      <c r="Q40" s="5"/>
    </row>
    <row r="41" spans="1:17" ht="13" x14ac:dyDescent="0.3">
      <c r="A41" s="6" t="s">
        <v>2</v>
      </c>
      <c r="B41" s="8">
        <v>645.04999999999995</v>
      </c>
      <c r="C41" s="7">
        <v>196.60164583968</v>
      </c>
      <c r="D41" s="7">
        <v>-2.2238970138155998</v>
      </c>
      <c r="E41" s="7">
        <v>-3.2086191033264999</v>
      </c>
      <c r="F41" s="5"/>
      <c r="G41" s="6" t="s">
        <v>0</v>
      </c>
      <c r="H41" s="8">
        <v>649.04999999999995</v>
      </c>
      <c r="I41" s="7">
        <v>197.82078634563001</v>
      </c>
      <c r="J41" s="7">
        <v>-1.6860823978184001</v>
      </c>
      <c r="K41" s="7">
        <v>-3.9555454440341</v>
      </c>
      <c r="L41" s="5"/>
      <c r="M41" s="5"/>
      <c r="N41" s="5"/>
      <c r="O41" s="5"/>
      <c r="P41" s="5"/>
      <c r="Q41" s="5"/>
    </row>
    <row r="42" spans="1:17" ht="13" x14ac:dyDescent="0.3">
      <c r="A42" s="6" t="s">
        <v>2</v>
      </c>
      <c r="B42" s="8">
        <v>644.04999999999995</v>
      </c>
      <c r="C42" s="7">
        <v>196.2968607132</v>
      </c>
      <c r="D42" s="7">
        <v>-1.6987668979487001</v>
      </c>
      <c r="E42" s="7">
        <v>-3.8217542813294001</v>
      </c>
      <c r="F42" s="5"/>
      <c r="G42" s="6" t="s">
        <v>0</v>
      </c>
      <c r="H42" s="8">
        <v>648.04999999999995</v>
      </c>
      <c r="I42" s="7">
        <v>197.51600121914001</v>
      </c>
      <c r="J42" s="7">
        <v>-1.3775886455688</v>
      </c>
      <c r="K42" s="7">
        <v>-3.5942201196058998</v>
      </c>
      <c r="L42" s="5"/>
      <c r="M42" s="5"/>
      <c r="N42" s="5"/>
      <c r="O42" s="5"/>
      <c r="P42" s="5"/>
      <c r="Q42" s="5"/>
    </row>
    <row r="43" spans="1:17" ht="13" x14ac:dyDescent="0.3">
      <c r="A43" s="6" t="s">
        <v>2</v>
      </c>
      <c r="B43" s="8">
        <v>643.04999999999995</v>
      </c>
      <c r="C43" s="7">
        <v>195.99207558671</v>
      </c>
      <c r="D43" s="7">
        <v>-1.88702844605</v>
      </c>
      <c r="E43" s="7">
        <v>-3.4404924274856001</v>
      </c>
      <c r="F43" s="5"/>
      <c r="G43" s="6" t="s">
        <v>0</v>
      </c>
      <c r="H43" s="8">
        <v>647.04999999999995</v>
      </c>
      <c r="I43" s="7">
        <v>197.21121609265001</v>
      </c>
      <c r="J43" s="7">
        <v>-1.2653171488484001</v>
      </c>
      <c r="K43" s="7">
        <v>-3.5589934166671999</v>
      </c>
      <c r="L43" s="5"/>
      <c r="M43" s="5"/>
      <c r="N43" s="5"/>
      <c r="O43" s="5"/>
      <c r="P43" s="5"/>
      <c r="Q43" s="5"/>
    </row>
    <row r="44" spans="1:17" ht="13" x14ac:dyDescent="0.3">
      <c r="A44" s="6" t="s">
        <v>2</v>
      </c>
      <c r="B44" s="8">
        <v>641.45000000000005</v>
      </c>
      <c r="C44" s="7">
        <v>195.50441938432999</v>
      </c>
      <c r="D44" s="7">
        <v>-2.1079422545847</v>
      </c>
      <c r="E44" s="7">
        <v>-3.4414918814691</v>
      </c>
      <c r="F44" s="5"/>
      <c r="G44" s="6" t="s">
        <v>0</v>
      </c>
      <c r="H44" s="8">
        <v>646.45000000000005</v>
      </c>
      <c r="I44" s="7">
        <v>197.02834501676</v>
      </c>
      <c r="J44" s="7">
        <v>-0.80813952256375998</v>
      </c>
      <c r="K44" s="7">
        <v>-3.9354158994977002</v>
      </c>
      <c r="L44" s="5"/>
      <c r="M44" s="5"/>
      <c r="N44" s="5"/>
      <c r="O44" s="5"/>
      <c r="P44" s="5"/>
      <c r="Q44" s="5"/>
    </row>
    <row r="45" spans="1:17" ht="13" x14ac:dyDescent="0.3">
      <c r="A45" s="6" t="s">
        <v>2</v>
      </c>
      <c r="B45" s="8">
        <v>640.15</v>
      </c>
      <c r="C45" s="7">
        <v>195.1081987199</v>
      </c>
      <c r="D45" s="7">
        <v>-1.7980631566401</v>
      </c>
      <c r="E45" s="7">
        <v>-3.3185590415054</v>
      </c>
      <c r="F45" s="5"/>
      <c r="G45" s="6" t="s">
        <v>0</v>
      </c>
      <c r="H45" s="8">
        <v>645.04999999999995</v>
      </c>
      <c r="I45" s="7">
        <v>196.60164583968</v>
      </c>
      <c r="J45" s="7">
        <v>-1.0003159583914001</v>
      </c>
      <c r="K45" s="7">
        <v>-4.2262878180485997</v>
      </c>
      <c r="L45" s="5"/>
      <c r="M45" s="5"/>
      <c r="N45" s="5"/>
      <c r="O45" s="5"/>
      <c r="P45" s="5"/>
      <c r="Q45" s="5"/>
    </row>
    <row r="46" spans="1:17" ht="13" x14ac:dyDescent="0.3">
      <c r="A46" s="6" t="s">
        <v>2</v>
      </c>
      <c r="B46" s="8">
        <v>639.04999999999995</v>
      </c>
      <c r="C46" s="7">
        <v>194.77293508077</v>
      </c>
      <c r="D46" s="7">
        <v>-1.8097907476840001</v>
      </c>
      <c r="E46" s="7">
        <v>-2.9864304882669002</v>
      </c>
      <c r="F46" s="5"/>
      <c r="G46" s="6" t="s">
        <v>0</v>
      </c>
      <c r="H46" s="8">
        <v>643.04999999999995</v>
      </c>
      <c r="I46" s="7">
        <v>195.99207558671</v>
      </c>
      <c r="J46" s="7">
        <v>-0.87590700256613996</v>
      </c>
      <c r="K46" s="7">
        <v>-3.5932136423791001</v>
      </c>
      <c r="L46" s="5"/>
      <c r="M46" s="5"/>
      <c r="N46" s="5"/>
      <c r="O46" s="5"/>
      <c r="P46" s="5"/>
      <c r="Q46" s="5"/>
    </row>
    <row r="47" spans="1:17" ht="13" x14ac:dyDescent="0.3">
      <c r="A47" s="6" t="s">
        <v>2</v>
      </c>
      <c r="B47" s="8">
        <v>638.04999999999995</v>
      </c>
      <c r="C47" s="7">
        <v>194.46814995427999</v>
      </c>
      <c r="D47" s="7">
        <v>-1.8430456063417999</v>
      </c>
      <c r="E47" s="7">
        <v>-3.3315519432901999</v>
      </c>
      <c r="F47" s="5"/>
      <c r="G47" s="6" t="s">
        <v>0</v>
      </c>
      <c r="H47" s="8">
        <v>642.04999999999995</v>
      </c>
      <c r="I47" s="7">
        <v>195.68729046023</v>
      </c>
      <c r="J47" s="7">
        <v>-1.3280273542237999</v>
      </c>
      <c r="K47" s="7">
        <v>-4.0400895310870002</v>
      </c>
      <c r="L47" s="5"/>
      <c r="M47" s="5"/>
      <c r="N47" s="5"/>
      <c r="O47" s="5"/>
      <c r="P47" s="5"/>
      <c r="Q47" s="5"/>
    </row>
    <row r="48" spans="1:17" ht="13" x14ac:dyDescent="0.3">
      <c r="A48" s="6" t="s">
        <v>2</v>
      </c>
      <c r="B48" s="8">
        <v>637.04999999999995</v>
      </c>
      <c r="C48" s="7">
        <v>194.1633648278</v>
      </c>
      <c r="D48" s="7">
        <v>-1.8330495064081</v>
      </c>
      <c r="E48" s="7">
        <v>-3.4464891513863001</v>
      </c>
      <c r="F48" s="5"/>
      <c r="G48" s="6" t="s">
        <v>0</v>
      </c>
      <c r="H48" s="8">
        <v>641.45000000000005</v>
      </c>
      <c r="I48" s="7">
        <v>195.50441938432999</v>
      </c>
      <c r="J48" s="7">
        <v>-1.0589803440651</v>
      </c>
      <c r="K48" s="7">
        <v>-4.0008369192410003</v>
      </c>
      <c r="L48" s="5"/>
      <c r="M48" s="5"/>
      <c r="N48" s="5"/>
      <c r="O48" s="5"/>
      <c r="P48" s="5"/>
      <c r="Q48" s="5"/>
    </row>
    <row r="49" spans="1:17" ht="13" x14ac:dyDescent="0.3">
      <c r="A49" s="6" t="s">
        <v>2</v>
      </c>
      <c r="B49" s="8">
        <v>636.04999999999995</v>
      </c>
      <c r="C49" s="7">
        <v>193.85857970130999</v>
      </c>
      <c r="D49" s="7">
        <v>-1.5031782085959999</v>
      </c>
      <c r="E49" s="7">
        <v>-3.0537037358924999</v>
      </c>
      <c r="F49" s="5"/>
      <c r="G49" s="6" t="s">
        <v>0</v>
      </c>
      <c r="H49" s="8">
        <v>640.15</v>
      </c>
      <c r="I49" s="7">
        <v>195.1081987199</v>
      </c>
      <c r="J49" s="7">
        <v>-1.2794775178041</v>
      </c>
      <c r="K49" s="7">
        <v>-3.4402291039024999</v>
      </c>
      <c r="L49" s="5"/>
      <c r="M49" s="5"/>
      <c r="N49" s="5"/>
      <c r="O49" s="5"/>
      <c r="P49" s="5"/>
      <c r="Q49" s="5"/>
    </row>
    <row r="50" spans="1:17" ht="13" x14ac:dyDescent="0.3">
      <c r="A50" s="6" t="s">
        <v>2</v>
      </c>
      <c r="B50" s="8">
        <v>635.04999999999995</v>
      </c>
      <c r="C50" s="7">
        <v>193.55379457481999</v>
      </c>
      <c r="D50" s="7">
        <v>-2.1019445946244999</v>
      </c>
      <c r="E50" s="7">
        <v>-3.2485972626641999</v>
      </c>
      <c r="F50" s="5"/>
      <c r="G50" s="6" t="s">
        <v>0</v>
      </c>
      <c r="H50" s="8">
        <v>639.04999999999995</v>
      </c>
      <c r="I50" s="7">
        <v>194.77293508077</v>
      </c>
      <c r="J50" s="7">
        <v>-1.0741521679462001</v>
      </c>
      <c r="K50" s="7">
        <v>-3.3919181970150998</v>
      </c>
      <c r="L50" s="5"/>
      <c r="M50" s="5"/>
      <c r="N50" s="5"/>
      <c r="O50" s="5"/>
      <c r="P50" s="5"/>
      <c r="Q50" s="5"/>
    </row>
    <row r="51" spans="1:17" ht="13" x14ac:dyDescent="0.3">
      <c r="A51" s="6" t="s">
        <v>2</v>
      </c>
      <c r="B51" s="8">
        <v>633.35</v>
      </c>
      <c r="C51" s="7">
        <v>193.03565985980001</v>
      </c>
      <c r="D51" s="7">
        <v>-2.0169777451880999</v>
      </c>
      <c r="E51" s="7">
        <v>-3.2815792441178999</v>
      </c>
      <c r="F51" s="5"/>
      <c r="G51" s="6" t="s">
        <v>0</v>
      </c>
      <c r="H51" s="8">
        <v>638.04999999999995</v>
      </c>
      <c r="I51" s="7">
        <v>194.46814995427999</v>
      </c>
      <c r="J51" s="7">
        <v>-0.56943616016734999</v>
      </c>
      <c r="K51" s="7">
        <v>-3.4392226266755999</v>
      </c>
      <c r="L51" s="5"/>
      <c r="M51" s="5"/>
      <c r="N51" s="5"/>
      <c r="O51" s="5"/>
      <c r="P51" s="5"/>
      <c r="Q51" s="5"/>
    </row>
    <row r="52" spans="1:17" ht="13" x14ac:dyDescent="0.3">
      <c r="A52" s="6" t="s">
        <v>2</v>
      </c>
      <c r="B52" s="8">
        <v>632.04999999999995</v>
      </c>
      <c r="C52" s="7">
        <v>192.63943919536999</v>
      </c>
      <c r="D52" s="7">
        <v>-1.9490042656390001</v>
      </c>
      <c r="E52" s="7">
        <v>-3.2705852502999999</v>
      </c>
      <c r="F52" s="5"/>
      <c r="G52" s="6" t="s">
        <v>0</v>
      </c>
      <c r="H52" s="8">
        <v>637.04999999999995</v>
      </c>
      <c r="I52" s="7">
        <v>194.1633648278</v>
      </c>
      <c r="J52" s="7">
        <v>-1.0498772497364</v>
      </c>
      <c r="K52" s="7">
        <v>-3.8760337431153999</v>
      </c>
      <c r="L52" s="5"/>
      <c r="M52" s="5"/>
      <c r="N52" s="5"/>
      <c r="O52" s="5"/>
      <c r="P52" s="5"/>
      <c r="Q52" s="5"/>
    </row>
    <row r="53" spans="1:17" ht="13" x14ac:dyDescent="0.3">
      <c r="A53" s="6" t="s">
        <v>2</v>
      </c>
      <c r="B53" s="8">
        <v>631.04999999999995</v>
      </c>
      <c r="C53" s="7">
        <v>192.33465406888001</v>
      </c>
      <c r="D53" s="7">
        <v>-1.6021395979397</v>
      </c>
      <c r="E53" s="7">
        <v>-3.2755825202172999</v>
      </c>
      <c r="F53" s="5"/>
      <c r="G53" s="6" t="s">
        <v>0</v>
      </c>
      <c r="H53" s="8">
        <v>636.04999999999995</v>
      </c>
      <c r="I53" s="7">
        <v>193.85857970130999</v>
      </c>
      <c r="J53" s="7">
        <v>-0.94468593749392005</v>
      </c>
      <c r="K53" s="7">
        <v>-3.7401593174947001</v>
      </c>
      <c r="L53" s="5"/>
      <c r="M53" s="5"/>
      <c r="N53" s="5"/>
      <c r="O53" s="5"/>
      <c r="P53" s="5"/>
      <c r="Q53" s="5"/>
    </row>
    <row r="54" spans="1:17" ht="13" x14ac:dyDescent="0.3">
      <c r="A54" s="6" t="s">
        <v>2</v>
      </c>
      <c r="B54" s="8">
        <v>630.15</v>
      </c>
      <c r="C54" s="7">
        <v>192.06034745503999</v>
      </c>
      <c r="D54" s="7">
        <v>-1.7380865570379</v>
      </c>
      <c r="E54" s="7">
        <v>-3.3905197283134001</v>
      </c>
      <c r="F54" s="5"/>
      <c r="G54" s="6" t="s">
        <v>0</v>
      </c>
      <c r="H54" s="8">
        <v>635.04999999999995</v>
      </c>
      <c r="I54" s="7">
        <v>193.55379457481999</v>
      </c>
      <c r="J54" s="7">
        <v>-0.99627013868975001</v>
      </c>
      <c r="K54" s="7">
        <v>-3.1503636625784002</v>
      </c>
      <c r="L54" s="5"/>
      <c r="M54" s="5"/>
      <c r="N54" s="5"/>
      <c r="O54" s="5"/>
      <c r="P54" s="5"/>
      <c r="Q54" s="5"/>
    </row>
    <row r="55" spans="1:17" ht="13" x14ac:dyDescent="0.3">
      <c r="A55" s="6" t="s">
        <v>2</v>
      </c>
      <c r="B55" s="8">
        <v>626.85</v>
      </c>
      <c r="C55" s="7">
        <v>191.05455653764</v>
      </c>
      <c r="D55" s="7">
        <v>-0.72348241376764999</v>
      </c>
      <c r="E55" s="7">
        <v>-2.3860684749515002</v>
      </c>
      <c r="F55" s="5"/>
      <c r="G55" s="6" t="s">
        <v>0</v>
      </c>
      <c r="H55" s="8">
        <v>633.35</v>
      </c>
      <c r="I55" s="7">
        <v>193.03565985980001</v>
      </c>
      <c r="J55" s="7">
        <v>-1.0741521679462001</v>
      </c>
      <c r="K55" s="7">
        <v>-3.3788339930664999</v>
      </c>
      <c r="L55" s="5"/>
      <c r="M55" s="5"/>
      <c r="N55" s="5"/>
      <c r="O55" s="5"/>
      <c r="P55" s="5"/>
      <c r="Q55" s="5"/>
    </row>
    <row r="56" spans="1:17" ht="13" x14ac:dyDescent="0.3">
      <c r="A56" s="6" t="s">
        <v>2</v>
      </c>
      <c r="B56" s="8">
        <v>623.45000000000005</v>
      </c>
      <c r="C56" s="7">
        <v>190.01828710759</v>
      </c>
      <c r="D56" s="7">
        <v>-1.0443572216393</v>
      </c>
      <c r="E56" s="7">
        <v>-2.8398205834354</v>
      </c>
      <c r="F56" s="5"/>
      <c r="G56" s="6" t="s">
        <v>0</v>
      </c>
      <c r="H56" s="8">
        <v>632.04999999999995</v>
      </c>
      <c r="I56" s="7">
        <v>192.63943919536999</v>
      </c>
      <c r="J56" s="7">
        <v>-0.68676493151474005</v>
      </c>
      <c r="K56" s="7">
        <v>-3.7894767016088999</v>
      </c>
      <c r="L56" s="5"/>
      <c r="M56" s="5"/>
      <c r="N56" s="5"/>
      <c r="O56" s="5"/>
      <c r="P56" s="5"/>
      <c r="Q56" s="5"/>
    </row>
    <row r="57" spans="1:17" ht="13" x14ac:dyDescent="0.3">
      <c r="A57" s="6" t="s">
        <v>2</v>
      </c>
      <c r="B57" s="8">
        <v>622.04999999999995</v>
      </c>
      <c r="C57" s="7">
        <v>189.59158793051</v>
      </c>
      <c r="D57" s="7">
        <v>-0.65584694519769005</v>
      </c>
      <c r="E57" s="7">
        <v>-2.6365684802209999</v>
      </c>
      <c r="F57" s="5"/>
      <c r="G57" s="6" t="s">
        <v>0</v>
      </c>
      <c r="H57" s="8">
        <v>631.04999999999995</v>
      </c>
      <c r="I57" s="7">
        <v>192.33465406888001</v>
      </c>
      <c r="J57" s="7">
        <v>-0.19216347298997</v>
      </c>
      <c r="K57" s="7">
        <v>-3.9666166935292</v>
      </c>
      <c r="L57" s="5"/>
      <c r="M57" s="5"/>
      <c r="N57" s="5"/>
      <c r="O57" s="5"/>
      <c r="P57" s="5"/>
      <c r="Q57" s="5"/>
    </row>
    <row r="58" spans="1:17" ht="13" x14ac:dyDescent="0.3">
      <c r="A58" s="6" t="s">
        <v>2</v>
      </c>
      <c r="B58" s="8">
        <v>619.35</v>
      </c>
      <c r="C58" s="7">
        <v>188.76866808899999</v>
      </c>
      <c r="D58" s="7">
        <v>0.32011041931036999</v>
      </c>
      <c r="E58" s="7">
        <v>-1.7444190175800001</v>
      </c>
      <c r="F58" s="5"/>
      <c r="G58" s="6" t="s">
        <v>0</v>
      </c>
      <c r="H58" s="8">
        <v>630.15</v>
      </c>
      <c r="I58" s="7">
        <v>192.06034745503999</v>
      </c>
      <c r="J58" s="7">
        <v>-0.24779349388743999</v>
      </c>
      <c r="K58" s="7">
        <v>-3.8146386322793999</v>
      </c>
      <c r="L58" s="5"/>
      <c r="M58" s="5"/>
      <c r="N58" s="5"/>
      <c r="O58" s="5"/>
      <c r="P58" s="5"/>
      <c r="Q58" s="5"/>
    </row>
    <row r="59" spans="1:17" ht="13" x14ac:dyDescent="0.3">
      <c r="A59" s="6" t="s">
        <v>2</v>
      </c>
      <c r="B59" s="8">
        <v>618.54999999999995</v>
      </c>
      <c r="C59" s="7">
        <v>188.52483998781</v>
      </c>
      <c r="D59" s="7">
        <v>0.11019232070272</v>
      </c>
      <c r="E59" s="7">
        <v>-2.1591924207095001</v>
      </c>
      <c r="F59" s="5"/>
      <c r="G59" s="6" t="s">
        <v>0</v>
      </c>
      <c r="H59" s="8">
        <v>626.04999999999995</v>
      </c>
      <c r="I59" s="7">
        <v>190.81072843645001</v>
      </c>
      <c r="J59" s="7">
        <v>-1.0559582571718</v>
      </c>
      <c r="K59" s="7">
        <v>-2.9076092574769001</v>
      </c>
      <c r="L59" s="5"/>
      <c r="M59" s="5"/>
      <c r="N59" s="5"/>
      <c r="O59" s="5"/>
      <c r="P59" s="5"/>
      <c r="Q59" s="5"/>
    </row>
    <row r="60" spans="1:17" ht="13" x14ac:dyDescent="0.3">
      <c r="A60" s="6" t="s">
        <v>2</v>
      </c>
      <c r="B60" s="8">
        <v>617.54999999999995</v>
      </c>
      <c r="C60" s="7">
        <v>188.22005486131999</v>
      </c>
      <c r="D60" s="7">
        <v>0.36009481904516</v>
      </c>
      <c r="E60" s="7">
        <v>-2.0212677709942</v>
      </c>
      <c r="F60" s="5"/>
      <c r="G60" s="6" t="s">
        <v>0</v>
      </c>
      <c r="H60" s="8">
        <v>626.04999999999995</v>
      </c>
      <c r="I60" s="7">
        <v>190.81072843645001</v>
      </c>
      <c r="J60" s="7">
        <v>1.5184786718782E-2</v>
      </c>
      <c r="K60" s="7">
        <v>-2.6451120947149001</v>
      </c>
      <c r="L60" s="5"/>
      <c r="M60" s="5"/>
      <c r="N60" s="5"/>
      <c r="O60" s="5"/>
      <c r="P60" s="5"/>
      <c r="Q60" s="5"/>
    </row>
    <row r="61" spans="1:17" ht="13" x14ac:dyDescent="0.3">
      <c r="A61" s="6" t="s">
        <v>2</v>
      </c>
      <c r="B61" s="8">
        <v>616.35</v>
      </c>
      <c r="C61" s="7">
        <v>187.85431270954001</v>
      </c>
      <c r="D61" s="7">
        <v>1.8228201312705E-2</v>
      </c>
      <c r="E61" s="7">
        <v>-1.9922836054743001</v>
      </c>
      <c r="F61" s="5"/>
      <c r="G61" s="6" t="s">
        <v>0</v>
      </c>
      <c r="H61" s="8">
        <v>625.04999999999995</v>
      </c>
      <c r="I61" s="7">
        <v>190.50594330997001</v>
      </c>
      <c r="J61" s="7">
        <v>0.40560638792648002</v>
      </c>
      <c r="K61" s="7">
        <v>-3.3184453594573</v>
      </c>
      <c r="L61" s="5"/>
      <c r="M61" s="5"/>
      <c r="N61" s="5"/>
      <c r="O61" s="5"/>
      <c r="P61" s="5"/>
      <c r="Q61" s="5"/>
    </row>
    <row r="62" spans="1:17" ht="13" x14ac:dyDescent="0.3">
      <c r="A62" s="6" t="s">
        <v>2</v>
      </c>
      <c r="B62" s="8">
        <v>611.15</v>
      </c>
      <c r="C62" s="7">
        <v>186.26943005180999</v>
      </c>
      <c r="D62" s="7">
        <v>-0.85942937286593002</v>
      </c>
      <c r="E62" s="7">
        <v>-3.1606453121210998</v>
      </c>
      <c r="F62" s="5"/>
      <c r="G62" s="6" t="s">
        <v>0</v>
      </c>
      <c r="H62" s="8">
        <v>623.45000000000005</v>
      </c>
      <c r="I62" s="7">
        <v>190.01828710759</v>
      </c>
      <c r="J62" s="7">
        <v>0.46325931867476</v>
      </c>
      <c r="K62" s="7">
        <v>-3.2449725218993999</v>
      </c>
      <c r="L62" s="5"/>
      <c r="M62" s="5"/>
      <c r="N62" s="5"/>
      <c r="O62" s="5"/>
      <c r="P62" s="5"/>
      <c r="Q62" s="5"/>
    </row>
    <row r="63" spans="1:17" ht="13" x14ac:dyDescent="0.3">
      <c r="A63" s="6" t="s">
        <v>2</v>
      </c>
      <c r="B63" s="8">
        <v>609.15</v>
      </c>
      <c r="C63" s="7">
        <v>185.65985979883999</v>
      </c>
      <c r="D63" s="7">
        <v>-9.2728507951336997E-2</v>
      </c>
      <c r="E63" s="7">
        <v>-2.5080018609316999</v>
      </c>
      <c r="F63" s="5"/>
      <c r="G63" s="6" t="s">
        <v>0</v>
      </c>
      <c r="H63" s="8">
        <v>622.04999999999995</v>
      </c>
      <c r="I63" s="7">
        <v>189.59158793051</v>
      </c>
      <c r="J63" s="7">
        <v>0.16488011567923999</v>
      </c>
      <c r="K63" s="7">
        <v>-3.4392226266755999</v>
      </c>
      <c r="L63" s="5"/>
      <c r="M63" s="5"/>
      <c r="N63" s="5"/>
      <c r="O63" s="5"/>
      <c r="P63" s="5"/>
      <c r="Q63" s="5"/>
    </row>
    <row r="64" spans="1:17" ht="13" x14ac:dyDescent="0.3">
      <c r="A64" s="6" t="s">
        <v>2</v>
      </c>
      <c r="B64" s="8">
        <v>602.15</v>
      </c>
      <c r="C64" s="7">
        <v>183.52636391344001</v>
      </c>
      <c r="D64" s="7">
        <v>0.86289864571013997</v>
      </c>
      <c r="E64" s="7">
        <v>-2.7638620806935998</v>
      </c>
      <c r="F64" s="5"/>
      <c r="G64" s="6" t="s">
        <v>0</v>
      </c>
      <c r="H64" s="8">
        <v>621.54999999999995</v>
      </c>
      <c r="I64" s="7">
        <v>189.43919536727</v>
      </c>
      <c r="J64" s="7">
        <v>0.51231002411699</v>
      </c>
      <c r="K64" s="7">
        <v>-3.5456121721370999</v>
      </c>
      <c r="L64" s="5"/>
      <c r="M64" s="5"/>
      <c r="N64" s="5"/>
      <c r="O64" s="5"/>
      <c r="P64" s="5"/>
      <c r="Q64" s="5"/>
    </row>
    <row r="65" spans="1:17" ht="13" x14ac:dyDescent="0.3">
      <c r="A65" s="5"/>
      <c r="B65" s="5"/>
      <c r="C65" s="5"/>
      <c r="D65" s="5"/>
      <c r="E65" s="5"/>
      <c r="F65" s="5"/>
      <c r="G65" s="6" t="s">
        <v>0</v>
      </c>
      <c r="H65" s="8">
        <v>620.25</v>
      </c>
      <c r="I65" s="7">
        <v>189.04297470283001</v>
      </c>
      <c r="J65" s="7">
        <v>-2.347465216005E-2</v>
      </c>
      <c r="K65" s="7">
        <v>-3.1648597655692998</v>
      </c>
      <c r="L65" s="5"/>
      <c r="M65" s="5"/>
      <c r="N65" s="5"/>
      <c r="O65" s="5"/>
      <c r="P65" s="5"/>
      <c r="Q65" s="5"/>
    </row>
    <row r="66" spans="1:17" ht="13" x14ac:dyDescent="0.3">
      <c r="A66" s="5"/>
      <c r="B66" s="5"/>
      <c r="C66" s="5"/>
      <c r="D66" s="5"/>
      <c r="E66" s="5"/>
      <c r="F66" s="5"/>
      <c r="G66" s="6" t="s">
        <v>0</v>
      </c>
      <c r="H66" s="8">
        <v>619.04999999999995</v>
      </c>
      <c r="I66" s="7">
        <v>188.67723255105</v>
      </c>
      <c r="J66" s="7">
        <v>0.43119122266196003</v>
      </c>
      <c r="K66" s="7">
        <v>-2.6635525073177</v>
      </c>
      <c r="L66" s="5"/>
      <c r="M66" s="5"/>
      <c r="N66" s="5"/>
      <c r="O66" s="5"/>
      <c r="P66" s="5"/>
      <c r="Q66" s="5"/>
    </row>
    <row r="67" spans="1:17" ht="13" x14ac:dyDescent="0.3">
      <c r="A67" s="5"/>
      <c r="B67" s="5"/>
      <c r="C67" s="5"/>
      <c r="D67" s="5"/>
      <c r="E67" s="5"/>
      <c r="F67" s="5"/>
      <c r="G67" s="6" t="s">
        <v>0</v>
      </c>
      <c r="H67" s="8">
        <v>618.54999999999995</v>
      </c>
      <c r="I67" s="7">
        <v>188.52483998781</v>
      </c>
      <c r="J67" s="7">
        <v>1.5478265760244001</v>
      </c>
      <c r="K67" s="7">
        <v>-2.4505722693431</v>
      </c>
      <c r="L67" s="5"/>
      <c r="M67" s="5"/>
      <c r="N67" s="5"/>
      <c r="O67" s="5"/>
      <c r="P67" s="5"/>
      <c r="Q67" s="5"/>
    </row>
    <row r="68" spans="1:17" ht="13" x14ac:dyDescent="0.3">
      <c r="A68" s="5"/>
      <c r="B68" s="5"/>
      <c r="C68" s="5"/>
      <c r="D68" s="5"/>
      <c r="E68" s="5"/>
      <c r="F68" s="5"/>
      <c r="G68" s="6" t="s">
        <v>0</v>
      </c>
      <c r="H68" s="8">
        <v>618.04999999999995</v>
      </c>
      <c r="I68" s="7">
        <v>188.37244742457</v>
      </c>
      <c r="J68" s="7">
        <v>2.0275291179621</v>
      </c>
      <c r="K68" s="7">
        <v>-2.7770749926532998</v>
      </c>
      <c r="L68" s="5"/>
      <c r="M68" s="5"/>
      <c r="N68" s="5"/>
      <c r="O68" s="5"/>
      <c r="P68" s="5"/>
      <c r="Q68" s="5"/>
    </row>
    <row r="69" spans="1:17" ht="13" x14ac:dyDescent="0.3">
      <c r="A69" s="5"/>
      <c r="B69" s="5"/>
      <c r="C69" s="5"/>
      <c r="D69" s="5"/>
      <c r="E69" s="5"/>
      <c r="F69" s="5"/>
      <c r="G69" s="6" t="s">
        <v>0</v>
      </c>
      <c r="H69" s="8">
        <v>617.54999999999995</v>
      </c>
      <c r="I69" s="7">
        <v>188.22005486131999</v>
      </c>
      <c r="J69" s="7">
        <v>2.1186625862635</v>
      </c>
      <c r="K69" s="7">
        <v>-3.0643973891662002</v>
      </c>
      <c r="L69" s="5"/>
      <c r="M69" s="5"/>
      <c r="N69" s="5"/>
      <c r="O69" s="5"/>
      <c r="P69" s="5"/>
      <c r="Q69" s="5"/>
    </row>
    <row r="70" spans="1:17" ht="13" x14ac:dyDescent="0.3">
      <c r="A70" s="5"/>
      <c r="B70" s="5"/>
      <c r="C70" s="5"/>
      <c r="D70" s="5"/>
      <c r="E70" s="5"/>
      <c r="F70" s="5"/>
      <c r="G70" s="6" t="s">
        <v>0</v>
      </c>
      <c r="H70" s="8">
        <v>616.35</v>
      </c>
      <c r="I70" s="7">
        <v>187.85431270954001</v>
      </c>
      <c r="J70" s="7">
        <v>2.1657315204411001</v>
      </c>
      <c r="K70" s="7">
        <v>-3.0161754484926999</v>
      </c>
      <c r="L70" s="5"/>
      <c r="M70" s="5"/>
      <c r="N70" s="5"/>
      <c r="O70" s="5"/>
      <c r="P70" s="5"/>
      <c r="Q70" s="5"/>
    </row>
    <row r="71" spans="1:17" ht="13" x14ac:dyDescent="0.3">
      <c r="A71" s="5"/>
      <c r="B71" s="5"/>
      <c r="C71" s="5"/>
      <c r="D71" s="5"/>
      <c r="E71" s="5"/>
      <c r="F71" s="5"/>
      <c r="G71" s="6" t="s">
        <v>0</v>
      </c>
      <c r="H71" s="8">
        <v>610.54999999999995</v>
      </c>
      <c r="I71" s="7">
        <v>186.08655897592001</v>
      </c>
      <c r="J71" s="7">
        <v>-0.28589119683795</v>
      </c>
      <c r="K71" s="7">
        <v>-3.292792103509</v>
      </c>
      <c r="L71" s="5"/>
      <c r="M71" s="5"/>
      <c r="N71" s="5"/>
      <c r="O71" s="5"/>
      <c r="P71" s="5"/>
      <c r="Q71" s="5"/>
    </row>
    <row r="72" spans="1:17" ht="13" x14ac:dyDescent="0.3">
      <c r="A72" s="5"/>
      <c r="B72" s="5"/>
      <c r="C72" s="5"/>
      <c r="D72" s="5"/>
      <c r="E72" s="5"/>
      <c r="F72" s="5"/>
      <c r="G72" s="6" t="s">
        <v>0</v>
      </c>
      <c r="H72" s="8">
        <v>610.54999999999995</v>
      </c>
      <c r="I72" s="7">
        <v>186.08655897592001</v>
      </c>
      <c r="J72" s="7">
        <v>1.2884467047052</v>
      </c>
      <c r="K72" s="7">
        <v>-3.3567429044993</v>
      </c>
      <c r="L72" s="5"/>
      <c r="M72" s="5"/>
      <c r="N72" s="5"/>
      <c r="O72" s="5"/>
      <c r="P72" s="5"/>
      <c r="Q72" s="5"/>
    </row>
    <row r="73" spans="1:17" ht="13" x14ac:dyDescent="0.3">
      <c r="A73" s="5"/>
      <c r="B73" s="5"/>
      <c r="C73" s="5"/>
      <c r="D73" s="5"/>
      <c r="E73" s="5"/>
      <c r="F73" s="5"/>
      <c r="G73" s="6" t="s">
        <v>0</v>
      </c>
      <c r="H73" s="8">
        <v>603.15</v>
      </c>
      <c r="I73" s="7">
        <v>183.83114903993001</v>
      </c>
      <c r="J73" s="7">
        <v>1.5067664419546001</v>
      </c>
      <c r="K73" s="7">
        <v>-3.3075163400616998</v>
      </c>
      <c r="L73" s="5"/>
      <c r="M73" s="5"/>
      <c r="N73" s="5"/>
      <c r="O73" s="5"/>
      <c r="P73" s="5"/>
      <c r="Q73" s="5"/>
    </row>
    <row r="74" spans="1:17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1:17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1:17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1:17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1:17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1:17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1:1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2"/>
  <sheetViews>
    <sheetView zoomScale="60" zoomScaleNormal="60" workbookViewId="0">
      <selection activeCell="P30" sqref="P30"/>
    </sheetView>
  </sheetViews>
  <sheetFormatPr defaultRowHeight="12.5" x14ac:dyDescent="0.35"/>
  <cols>
    <col min="1" max="1" width="13.1796875" style="33" customWidth="1"/>
    <col min="2" max="5" width="8.7265625" style="33"/>
    <col min="6" max="6" width="13.08984375" style="33" customWidth="1"/>
    <col min="7" max="10" width="8.7265625" style="33"/>
    <col min="11" max="11" width="13.1796875" style="33" customWidth="1"/>
    <col min="12" max="15" width="8.7265625" style="33"/>
    <col min="16" max="16" width="13.08984375" style="33" customWidth="1"/>
    <col min="17" max="20" width="8.7265625" style="33"/>
    <col min="21" max="21" width="13.08984375" style="33" customWidth="1"/>
    <col min="22" max="25" width="8.7265625" style="33"/>
    <col min="26" max="26" width="13.08984375" style="33" customWidth="1"/>
    <col min="27" max="30" width="8.7265625" style="33"/>
    <col min="31" max="31" width="12.453125" style="33" customWidth="1"/>
    <col min="32" max="40" width="8.7265625" style="33"/>
    <col min="41" max="41" width="13" style="33" customWidth="1"/>
    <col min="42" max="16384" width="8.7265625" style="33"/>
  </cols>
  <sheetData>
    <row r="1" spans="1:44" s="16" customFormat="1" ht="90" x14ac:dyDescent="0.25">
      <c r="A1" s="17" t="s">
        <v>3</v>
      </c>
      <c r="B1" s="17" t="s">
        <v>5</v>
      </c>
      <c r="C1" s="17" t="s">
        <v>4</v>
      </c>
      <c r="D1" s="10" t="s">
        <v>8</v>
      </c>
      <c r="E1" s="10"/>
      <c r="F1" s="17" t="s">
        <v>3</v>
      </c>
      <c r="G1" s="17" t="s">
        <v>5</v>
      </c>
      <c r="H1" s="17" t="s">
        <v>4</v>
      </c>
      <c r="I1" s="10" t="s">
        <v>8</v>
      </c>
      <c r="J1" s="10"/>
      <c r="K1" s="17" t="s">
        <v>3</v>
      </c>
      <c r="L1" s="17" t="s">
        <v>5</v>
      </c>
      <c r="M1" s="17" t="s">
        <v>4</v>
      </c>
      <c r="N1" s="10" t="s">
        <v>8</v>
      </c>
      <c r="O1" s="18"/>
      <c r="P1" s="17" t="s">
        <v>3</v>
      </c>
      <c r="Q1" s="17" t="s">
        <v>5</v>
      </c>
      <c r="R1" s="17" t="s">
        <v>4</v>
      </c>
      <c r="S1" s="10" t="s">
        <v>13</v>
      </c>
      <c r="T1" s="18"/>
      <c r="U1" s="17" t="s">
        <v>3</v>
      </c>
      <c r="V1" s="17" t="s">
        <v>5</v>
      </c>
      <c r="W1" s="17" t="s">
        <v>4</v>
      </c>
      <c r="X1" s="10" t="s">
        <v>13</v>
      </c>
      <c r="Y1" s="18"/>
      <c r="Z1" s="17" t="s">
        <v>3</v>
      </c>
      <c r="AA1" s="17" t="s">
        <v>5</v>
      </c>
      <c r="AB1" s="17" t="s">
        <v>4</v>
      </c>
      <c r="AC1" s="10" t="s">
        <v>13</v>
      </c>
      <c r="AD1" s="18"/>
      <c r="AE1" s="17" t="s">
        <v>3</v>
      </c>
      <c r="AF1" s="17" t="s">
        <v>5</v>
      </c>
      <c r="AG1" s="17" t="s">
        <v>4</v>
      </c>
      <c r="AH1" s="10" t="s">
        <v>14</v>
      </c>
      <c r="AI1" s="18"/>
      <c r="AJ1" s="17" t="s">
        <v>3</v>
      </c>
      <c r="AK1" s="17" t="s">
        <v>5</v>
      </c>
      <c r="AL1" s="17" t="s">
        <v>4</v>
      </c>
      <c r="AM1" s="10" t="s">
        <v>14</v>
      </c>
      <c r="AN1" s="18"/>
      <c r="AO1" s="17" t="s">
        <v>3</v>
      </c>
      <c r="AP1" s="17" t="s">
        <v>5</v>
      </c>
      <c r="AQ1" s="17" t="s">
        <v>4</v>
      </c>
      <c r="AR1" s="10" t="s">
        <v>14</v>
      </c>
    </row>
    <row r="2" spans="1:44" ht="13" x14ac:dyDescent="0.35">
      <c r="A2" s="20" t="s">
        <v>2</v>
      </c>
      <c r="B2" s="21">
        <v>688.55</v>
      </c>
      <c r="C2" s="22">
        <f>B2/3.2808</f>
        <v>209.87259205071931</v>
      </c>
      <c r="D2" s="22">
        <v>3.3777063704378851</v>
      </c>
      <c r="E2" s="23"/>
      <c r="F2" s="24" t="s">
        <v>0</v>
      </c>
      <c r="G2" s="23">
        <v>689.05</v>
      </c>
      <c r="H2" s="22">
        <f>G2/3.2808</f>
        <v>210.02499390392586</v>
      </c>
      <c r="I2" s="25">
        <v>3.3295295173733801</v>
      </c>
      <c r="J2" s="23"/>
      <c r="K2" s="24" t="s">
        <v>7</v>
      </c>
      <c r="L2" s="23">
        <v>684.3</v>
      </c>
      <c r="M2" s="22">
        <f>L2/3.2808</f>
        <v>208.57717629846377</v>
      </c>
      <c r="N2" s="26">
        <v>3.5794538331591417</v>
      </c>
      <c r="O2" s="27"/>
      <c r="P2" s="28" t="s">
        <v>2</v>
      </c>
      <c r="Q2" s="29">
        <v>688.55</v>
      </c>
      <c r="R2" s="21">
        <v>688.55</v>
      </c>
      <c r="S2" s="30">
        <v>1.3685746049843592</v>
      </c>
      <c r="T2" s="19"/>
      <c r="U2" s="31" t="s">
        <v>0</v>
      </c>
      <c r="V2" s="29">
        <v>689.05</v>
      </c>
      <c r="W2" s="22">
        <f>V2/3.2808</f>
        <v>210.02499390392586</v>
      </c>
      <c r="X2" s="32">
        <v>1.3530750063817081</v>
      </c>
      <c r="Y2" s="19"/>
      <c r="Z2" s="31" t="s">
        <v>7</v>
      </c>
      <c r="AA2" s="29">
        <v>684.3</v>
      </c>
      <c r="AB2" s="22">
        <f>AA2/3.2808</f>
        <v>208.57717629846377</v>
      </c>
      <c r="AC2" s="32">
        <v>1.3307820813035813</v>
      </c>
      <c r="AE2" s="24" t="s">
        <v>2</v>
      </c>
      <c r="AF2" s="23">
        <v>686.05</v>
      </c>
      <c r="AG2" s="22">
        <f>AF2/3.2808</f>
        <v>209.11058278468664</v>
      </c>
      <c r="AH2" s="23">
        <v>79.582938809760691</v>
      </c>
      <c r="AI2" s="21"/>
      <c r="AJ2" s="24" t="s">
        <v>0</v>
      </c>
      <c r="AK2" s="23">
        <v>679.55</v>
      </c>
      <c r="AL2" s="22">
        <f>AK2/3.2808</f>
        <v>207.12935869300168</v>
      </c>
      <c r="AM2" s="23">
        <v>71.053792048259993</v>
      </c>
      <c r="AN2" s="21"/>
      <c r="AO2" s="24" t="s">
        <v>7</v>
      </c>
      <c r="AP2" s="23">
        <v>684.3</v>
      </c>
      <c r="AQ2" s="22">
        <f>AP2/3.2808</f>
        <v>208.57717629846377</v>
      </c>
      <c r="AR2" s="23">
        <v>81.290938535436453</v>
      </c>
    </row>
    <row r="3" spans="1:44" ht="13" x14ac:dyDescent="0.35">
      <c r="A3" s="20" t="s">
        <v>2</v>
      </c>
      <c r="B3" s="21">
        <v>686.05</v>
      </c>
      <c r="C3" s="22">
        <f t="shared" ref="C3:C20" si="0">B3/3.2808</f>
        <v>209.11058278468664</v>
      </c>
      <c r="D3" s="22">
        <v>3.3213220302299948</v>
      </c>
      <c r="E3" s="23"/>
      <c r="F3" s="24" t="s">
        <v>0</v>
      </c>
      <c r="G3" s="23">
        <v>686.05</v>
      </c>
      <c r="H3" s="22">
        <f t="shared" ref="H3:H19" si="1">G3/3.2808</f>
        <v>209.11058278468664</v>
      </c>
      <c r="I3" s="25">
        <v>3.3372832393886576</v>
      </c>
      <c r="J3" s="23"/>
      <c r="K3" s="24" t="s">
        <v>7</v>
      </c>
      <c r="L3" s="23">
        <v>673.05</v>
      </c>
      <c r="M3" s="22">
        <f t="shared" ref="M3:M10" si="2">L3/3.2808</f>
        <v>205.14813460131674</v>
      </c>
      <c r="N3" s="26">
        <v>3.4399869713881444</v>
      </c>
      <c r="O3" s="27"/>
      <c r="P3" s="28" t="s">
        <v>2</v>
      </c>
      <c r="Q3" s="29">
        <v>686.05</v>
      </c>
      <c r="R3" s="21">
        <v>686.05</v>
      </c>
      <c r="S3" s="30">
        <v>1.3214871069975955</v>
      </c>
      <c r="T3" s="19"/>
      <c r="U3" s="31" t="s">
        <v>0</v>
      </c>
      <c r="V3" s="29">
        <v>686.05</v>
      </c>
      <c r="W3" s="22">
        <f t="shared" ref="W3:W19" si="3">V3/3.2808</f>
        <v>209.11058278468664</v>
      </c>
      <c r="X3" s="32">
        <v>1.3978147806635521</v>
      </c>
      <c r="Y3" s="19"/>
      <c r="Z3" s="31" t="s">
        <v>7</v>
      </c>
      <c r="AA3" s="29">
        <v>673.05</v>
      </c>
      <c r="AB3" s="22">
        <f t="shared" ref="AB3:AB10" si="4">AA3/3.2808</f>
        <v>205.14813460131674</v>
      </c>
      <c r="AC3" s="32">
        <v>1.3330695968397173</v>
      </c>
      <c r="AE3" s="24" t="s">
        <v>2</v>
      </c>
      <c r="AF3" s="23">
        <v>679.55</v>
      </c>
      <c r="AG3" s="22">
        <f t="shared" ref="AG3:AG17" si="5">AF3/3.2808</f>
        <v>207.12935869300168</v>
      </c>
      <c r="AH3" s="23">
        <v>67.391457064029268</v>
      </c>
      <c r="AI3" s="21"/>
      <c r="AJ3" s="24" t="s">
        <v>0</v>
      </c>
      <c r="AK3" s="23">
        <v>675.3</v>
      </c>
      <c r="AL3" s="22">
        <f t="shared" ref="AL3:AL14" si="6">AK3/3.2808</f>
        <v>205.83394294074614</v>
      </c>
      <c r="AM3" s="23">
        <v>63.977072826822713</v>
      </c>
      <c r="AN3" s="21"/>
      <c r="AO3" s="24" t="s">
        <v>7</v>
      </c>
      <c r="AP3" s="23">
        <v>656.15000000000009</v>
      </c>
      <c r="AQ3" s="22">
        <f t="shared" ref="AQ3:AQ5" si="7">AP3/3.2808</f>
        <v>199.9969519629359</v>
      </c>
      <c r="AR3" s="23">
        <v>52.319015915244798</v>
      </c>
    </row>
    <row r="4" spans="1:44" ht="13" x14ac:dyDescent="0.35">
      <c r="A4" s="20" t="s">
        <v>2</v>
      </c>
      <c r="B4" s="21">
        <v>679.55</v>
      </c>
      <c r="C4" s="22">
        <f t="shared" si="0"/>
        <v>207.12935869300168</v>
      </c>
      <c r="D4" s="22">
        <v>3.7729372259706127</v>
      </c>
      <c r="E4" s="23"/>
      <c r="F4" s="24" t="s">
        <v>0</v>
      </c>
      <c r="G4" s="23">
        <v>679.55</v>
      </c>
      <c r="H4" s="22">
        <f t="shared" si="1"/>
        <v>207.12935869300168</v>
      </c>
      <c r="I4" s="25">
        <v>3.5149641566529137</v>
      </c>
      <c r="J4" s="23"/>
      <c r="K4" s="24" t="s">
        <v>7</v>
      </c>
      <c r="L4" s="23">
        <v>663.55</v>
      </c>
      <c r="M4" s="22">
        <f t="shared" si="2"/>
        <v>202.25249939039256</v>
      </c>
      <c r="N4" s="26">
        <v>5.4799950925956331</v>
      </c>
      <c r="O4" s="27"/>
      <c r="P4" s="28" t="s">
        <v>2</v>
      </c>
      <c r="Q4" s="29">
        <v>679.55</v>
      </c>
      <c r="R4" s="21">
        <v>679.55</v>
      </c>
      <c r="S4" s="30">
        <v>1.3055992129193814</v>
      </c>
      <c r="T4" s="19"/>
      <c r="U4" s="31" t="s">
        <v>0</v>
      </c>
      <c r="V4" s="29">
        <v>679.55</v>
      </c>
      <c r="W4" s="22">
        <f t="shared" si="3"/>
        <v>207.12935869300168</v>
      </c>
      <c r="X4" s="32">
        <v>1.424413486079001</v>
      </c>
      <c r="Y4" s="19"/>
      <c r="Z4" s="31" t="s">
        <v>7</v>
      </c>
      <c r="AA4" s="29">
        <v>663.55</v>
      </c>
      <c r="AB4" s="22">
        <f t="shared" si="4"/>
        <v>202.25249939039256</v>
      </c>
      <c r="AC4" s="32">
        <v>1.4490808967635644</v>
      </c>
      <c r="AE4" s="24" t="s">
        <v>2</v>
      </c>
      <c r="AF4" s="23">
        <v>675.3</v>
      </c>
      <c r="AG4" s="22">
        <f t="shared" si="5"/>
        <v>205.83394294074614</v>
      </c>
      <c r="AH4" s="23">
        <v>69.936106256256778</v>
      </c>
      <c r="AI4" s="21"/>
      <c r="AJ4" s="24" t="s">
        <v>0</v>
      </c>
      <c r="AK4" s="23">
        <v>673.05</v>
      </c>
      <c r="AL4" s="22">
        <f t="shared" si="6"/>
        <v>205.14813460131674</v>
      </c>
      <c r="AM4" s="23">
        <v>72.057217613286099</v>
      </c>
      <c r="AN4" s="21"/>
      <c r="AO4" s="24" t="s">
        <v>7</v>
      </c>
      <c r="AP4" s="23">
        <v>653.79999999999995</v>
      </c>
      <c r="AQ4" s="22">
        <f t="shared" si="7"/>
        <v>199.28066325286514</v>
      </c>
      <c r="AR4" s="23">
        <v>53.757273427465641</v>
      </c>
    </row>
    <row r="5" spans="1:44" ht="13" x14ac:dyDescent="0.35">
      <c r="A5" s="20" t="s">
        <v>2</v>
      </c>
      <c r="B5" s="21">
        <v>675.3</v>
      </c>
      <c r="C5" s="22">
        <f t="shared" si="0"/>
        <v>205.83394294074614</v>
      </c>
      <c r="D5" s="22">
        <v>3.8016824201843367</v>
      </c>
      <c r="E5" s="23"/>
      <c r="F5" s="24" t="s">
        <v>0</v>
      </c>
      <c r="G5" s="23">
        <v>675.3</v>
      </c>
      <c r="H5" s="22">
        <f t="shared" si="1"/>
        <v>205.83394294074614</v>
      </c>
      <c r="I5" s="25">
        <v>3.9271960053246135</v>
      </c>
      <c r="J5" s="23"/>
      <c r="K5" s="20" t="s">
        <v>7</v>
      </c>
      <c r="L5" s="21">
        <v>663.05</v>
      </c>
      <c r="M5" s="22">
        <f t="shared" si="2"/>
        <v>202.10009753718603</v>
      </c>
      <c r="N5" s="34">
        <v>4.437183809669496</v>
      </c>
      <c r="O5" s="27"/>
      <c r="P5" s="28" t="s">
        <v>2</v>
      </c>
      <c r="Q5" s="29">
        <v>675.3</v>
      </c>
      <c r="R5" s="21">
        <v>675.3</v>
      </c>
      <c r="S5" s="30">
        <v>1.3018794164592191</v>
      </c>
      <c r="T5" s="19"/>
      <c r="U5" s="31" t="s">
        <v>0</v>
      </c>
      <c r="V5" s="29">
        <v>675.3</v>
      </c>
      <c r="W5" s="22">
        <f t="shared" si="3"/>
        <v>205.83394294074614</v>
      </c>
      <c r="X5" s="32">
        <v>1.2970266601567335</v>
      </c>
      <c r="Y5" s="19"/>
      <c r="Z5" s="31" t="s">
        <v>7</v>
      </c>
      <c r="AA5" s="35">
        <v>663.05</v>
      </c>
      <c r="AB5" s="22">
        <f t="shared" si="4"/>
        <v>202.10009753718603</v>
      </c>
      <c r="AC5" s="36">
        <v>1.3235146190246878</v>
      </c>
      <c r="AE5" s="24" t="s">
        <v>2</v>
      </c>
      <c r="AF5" s="23">
        <v>662.8</v>
      </c>
      <c r="AG5" s="22">
        <f t="shared" si="5"/>
        <v>202.02389661058277</v>
      </c>
      <c r="AH5" s="23">
        <v>43.631663651209763</v>
      </c>
      <c r="AI5" s="21"/>
      <c r="AJ5" s="24" t="s">
        <v>0</v>
      </c>
      <c r="AK5" s="23">
        <v>663.55</v>
      </c>
      <c r="AL5" s="22">
        <f t="shared" si="6"/>
        <v>202.25249939039256</v>
      </c>
      <c r="AM5" s="23">
        <v>48.182380318759378</v>
      </c>
      <c r="AN5" s="21"/>
      <c r="AO5" s="24" t="s">
        <v>7</v>
      </c>
      <c r="AP5" s="23">
        <v>639.1</v>
      </c>
      <c r="AQ5" s="22">
        <f t="shared" si="7"/>
        <v>194.80004876859303</v>
      </c>
      <c r="AR5" s="23">
        <v>79.248702204272334</v>
      </c>
    </row>
    <row r="6" spans="1:44" ht="13" x14ac:dyDescent="0.35">
      <c r="A6" s="20" t="s">
        <v>2</v>
      </c>
      <c r="B6" s="21">
        <v>673.05</v>
      </c>
      <c r="C6" s="22">
        <f t="shared" si="0"/>
        <v>205.14813460131674</v>
      </c>
      <c r="D6" s="22">
        <v>3.1551135872058489</v>
      </c>
      <c r="E6" s="23"/>
      <c r="F6" s="24" t="s">
        <v>0</v>
      </c>
      <c r="G6" s="23">
        <v>673.05</v>
      </c>
      <c r="H6" s="22">
        <f t="shared" si="1"/>
        <v>205.14813460131674</v>
      </c>
      <c r="I6" s="25">
        <v>3.1021461640200667</v>
      </c>
      <c r="J6" s="23"/>
      <c r="K6" s="20" t="s">
        <v>7</v>
      </c>
      <c r="L6" s="21">
        <v>662.3</v>
      </c>
      <c r="M6" s="22">
        <f t="shared" si="2"/>
        <v>201.87149475737624</v>
      </c>
      <c r="N6" s="34">
        <v>5.1669611767009762</v>
      </c>
      <c r="O6" s="27"/>
      <c r="P6" s="37" t="s">
        <v>2</v>
      </c>
      <c r="Q6" s="29">
        <v>673.05</v>
      </c>
      <c r="R6" s="21">
        <v>673.05</v>
      </c>
      <c r="S6" s="30">
        <v>1.4175178757049127</v>
      </c>
      <c r="T6" s="19"/>
      <c r="U6" s="31" t="s">
        <v>0</v>
      </c>
      <c r="V6" s="29">
        <v>673.05</v>
      </c>
      <c r="W6" s="22">
        <f t="shared" si="3"/>
        <v>205.14813460131674</v>
      </c>
      <c r="X6" s="32">
        <v>1.3831472886882337</v>
      </c>
      <c r="Y6" s="19"/>
      <c r="Z6" s="31" t="s">
        <v>7</v>
      </c>
      <c r="AA6" s="29">
        <v>662.3</v>
      </c>
      <c r="AB6" s="22">
        <f t="shared" si="4"/>
        <v>201.87149475737624</v>
      </c>
      <c r="AC6" s="32">
        <v>1.278284035819016</v>
      </c>
      <c r="AE6" s="20" t="s">
        <v>2</v>
      </c>
      <c r="AF6" s="21">
        <v>659.8</v>
      </c>
      <c r="AG6" s="22">
        <f t="shared" si="5"/>
        <v>201.10948549134355</v>
      </c>
      <c r="AH6" s="21">
        <v>65.891579676625071</v>
      </c>
      <c r="AI6" s="21"/>
      <c r="AJ6" s="24" t="s">
        <v>0</v>
      </c>
      <c r="AK6" s="23">
        <v>640.79999999999995</v>
      </c>
      <c r="AL6" s="22">
        <f t="shared" si="6"/>
        <v>195.31821506949521</v>
      </c>
      <c r="AM6" s="23">
        <v>54.95759002667161</v>
      </c>
      <c r="AN6" s="21"/>
      <c r="AO6" s="21"/>
      <c r="AP6" s="21"/>
      <c r="AQ6" s="21"/>
      <c r="AR6" s="21"/>
    </row>
    <row r="7" spans="1:44" ht="13" x14ac:dyDescent="0.35">
      <c r="A7" s="20" t="s">
        <v>2</v>
      </c>
      <c r="B7" s="21">
        <v>671.35</v>
      </c>
      <c r="C7" s="22">
        <f t="shared" si="0"/>
        <v>204.62996830041453</v>
      </c>
      <c r="D7" s="22">
        <v>3.4785270987186245</v>
      </c>
      <c r="E7" s="23"/>
      <c r="F7" s="24" t="s">
        <v>0</v>
      </c>
      <c r="G7" s="23">
        <v>672.05</v>
      </c>
      <c r="H7" s="22">
        <f t="shared" si="1"/>
        <v>204.84333089490366</v>
      </c>
      <c r="I7" s="25">
        <v>3.6036243255630422</v>
      </c>
      <c r="J7" s="23"/>
      <c r="K7" s="20" t="s">
        <v>7</v>
      </c>
      <c r="L7" s="21">
        <v>656.15000000000009</v>
      </c>
      <c r="M7" s="22">
        <f t="shared" si="2"/>
        <v>199.9969519629359</v>
      </c>
      <c r="N7" s="34">
        <v>4.9778523856597783</v>
      </c>
      <c r="O7" s="27"/>
      <c r="P7" s="37" t="s">
        <v>2</v>
      </c>
      <c r="Q7" s="29">
        <v>671.35</v>
      </c>
      <c r="R7" s="21">
        <v>671.35</v>
      </c>
      <c r="S7" s="30">
        <v>1.3970499181404867</v>
      </c>
      <c r="T7" s="19"/>
      <c r="U7" s="31" t="s">
        <v>0</v>
      </c>
      <c r="V7" s="29">
        <v>672.05</v>
      </c>
      <c r="W7" s="22">
        <f t="shared" si="3"/>
        <v>204.84333089490366</v>
      </c>
      <c r="X7" s="32">
        <v>1.2461897646333375</v>
      </c>
      <c r="Y7" s="19"/>
      <c r="Z7" s="31" t="s">
        <v>7</v>
      </c>
      <c r="AA7" s="29">
        <v>656.15000000000009</v>
      </c>
      <c r="AB7" s="22">
        <f t="shared" si="4"/>
        <v>199.9969519629359</v>
      </c>
      <c r="AC7" s="32">
        <v>1.3556852611578416</v>
      </c>
      <c r="AE7" s="20" t="s">
        <v>2</v>
      </c>
      <c r="AF7" s="21">
        <v>655.8</v>
      </c>
      <c r="AG7" s="22">
        <f t="shared" si="5"/>
        <v>199.89027066569128</v>
      </c>
      <c r="AH7" s="21">
        <v>41.618583641309087</v>
      </c>
      <c r="AI7" s="21"/>
      <c r="AJ7" s="24" t="s">
        <v>0</v>
      </c>
      <c r="AK7" s="23">
        <v>639.04999999999995</v>
      </c>
      <c r="AL7" s="22">
        <f t="shared" si="6"/>
        <v>194.78480858327234</v>
      </c>
      <c r="AM7" s="23">
        <v>47.647755943838924</v>
      </c>
      <c r="AN7" s="21"/>
      <c r="AO7" s="21"/>
      <c r="AP7" s="21"/>
      <c r="AQ7" s="21"/>
      <c r="AR7" s="21"/>
    </row>
    <row r="8" spans="1:44" ht="13" x14ac:dyDescent="0.35">
      <c r="A8" s="20" t="s">
        <v>2</v>
      </c>
      <c r="B8" s="21">
        <v>663.05</v>
      </c>
      <c r="C8" s="22">
        <f t="shared" si="0"/>
        <v>202.10009753718603</v>
      </c>
      <c r="D8" s="22">
        <v>4.8171546439415911</v>
      </c>
      <c r="E8" s="23"/>
      <c r="F8" s="24" t="s">
        <v>0</v>
      </c>
      <c r="G8" s="23">
        <v>663.55</v>
      </c>
      <c r="H8" s="22">
        <f t="shared" si="1"/>
        <v>202.25249939039256</v>
      </c>
      <c r="I8" s="25">
        <v>4.2174236113620323</v>
      </c>
      <c r="J8" s="23"/>
      <c r="K8" s="20" t="s">
        <v>7</v>
      </c>
      <c r="L8" s="21">
        <v>653.79999999999995</v>
      </c>
      <c r="M8" s="22">
        <f t="shared" si="2"/>
        <v>199.28066325286514</v>
      </c>
      <c r="N8" s="34">
        <v>5.0462307493456757</v>
      </c>
      <c r="O8" s="27"/>
      <c r="P8" s="37" t="s">
        <v>2</v>
      </c>
      <c r="Q8" s="38">
        <v>663.05</v>
      </c>
      <c r="R8" s="21">
        <v>663.05</v>
      </c>
      <c r="S8" s="30">
        <v>1.492207664899414</v>
      </c>
      <c r="T8" s="19"/>
      <c r="U8" s="31" t="s">
        <v>0</v>
      </c>
      <c r="V8" s="29">
        <v>663.55</v>
      </c>
      <c r="W8" s="22">
        <f t="shared" si="3"/>
        <v>202.25249939039256</v>
      </c>
      <c r="X8" s="32">
        <v>1.404088735370973</v>
      </c>
      <c r="Y8" s="19"/>
      <c r="Z8" s="31" t="s">
        <v>7</v>
      </c>
      <c r="AA8" s="29">
        <v>653.79999999999995</v>
      </c>
      <c r="AB8" s="22">
        <f t="shared" si="4"/>
        <v>199.28066325286514</v>
      </c>
      <c r="AC8" s="32">
        <v>1.3724429574722399</v>
      </c>
      <c r="AE8" s="20" t="s">
        <v>2</v>
      </c>
      <c r="AF8" s="21">
        <v>654.29999999999995</v>
      </c>
      <c r="AG8" s="22">
        <f t="shared" si="5"/>
        <v>199.43306510607167</v>
      </c>
      <c r="AH8" s="21">
        <v>50.633927481973572</v>
      </c>
      <c r="AI8" s="21"/>
      <c r="AJ8" s="24" t="s">
        <v>0</v>
      </c>
      <c r="AK8" s="23">
        <v>637.04999999999995</v>
      </c>
      <c r="AL8" s="22">
        <f t="shared" si="6"/>
        <v>194.1752011704462</v>
      </c>
      <c r="AM8" s="23">
        <v>55.423062041596225</v>
      </c>
      <c r="AN8" s="21"/>
      <c r="AO8" s="21"/>
      <c r="AP8" s="21"/>
      <c r="AQ8" s="21"/>
      <c r="AR8" s="21"/>
    </row>
    <row r="9" spans="1:44" ht="13" x14ac:dyDescent="0.35">
      <c r="A9" s="20" t="s">
        <v>2</v>
      </c>
      <c r="B9" s="21">
        <v>659.8</v>
      </c>
      <c r="C9" s="22">
        <f t="shared" si="0"/>
        <v>201.10948549134355</v>
      </c>
      <c r="D9" s="22">
        <v>4.4945629122305881</v>
      </c>
      <c r="E9" s="23"/>
      <c r="F9" s="24" t="s">
        <v>0</v>
      </c>
      <c r="G9" s="23">
        <v>662.3</v>
      </c>
      <c r="H9" s="22">
        <f t="shared" si="1"/>
        <v>201.87149475737624</v>
      </c>
      <c r="I9" s="25">
        <v>4.5499716850949961</v>
      </c>
      <c r="J9" s="23"/>
      <c r="K9" s="20" t="s">
        <v>7</v>
      </c>
      <c r="L9" s="21">
        <v>639.1</v>
      </c>
      <c r="M9" s="22">
        <f t="shared" si="2"/>
        <v>194.80004876859303</v>
      </c>
      <c r="N9" s="34">
        <v>5.0678031906316026</v>
      </c>
      <c r="O9" s="27"/>
      <c r="P9" s="37" t="s">
        <v>2</v>
      </c>
      <c r="Q9" s="29">
        <v>659.8</v>
      </c>
      <c r="R9" s="21">
        <v>659.8</v>
      </c>
      <c r="S9" s="30">
        <v>1.3956789047722962</v>
      </c>
      <c r="T9" s="19"/>
      <c r="U9" s="31" t="s">
        <v>0</v>
      </c>
      <c r="V9" s="29">
        <v>662.3</v>
      </c>
      <c r="W9" s="22">
        <f t="shared" si="3"/>
        <v>201.87149475737624</v>
      </c>
      <c r="X9" s="32">
        <v>1.3457154818268411</v>
      </c>
      <c r="Y9" s="19"/>
      <c r="Z9" s="31" t="s">
        <v>7</v>
      </c>
      <c r="AA9" s="29">
        <v>639.1</v>
      </c>
      <c r="AB9" s="22">
        <f t="shared" si="4"/>
        <v>194.80004876859303</v>
      </c>
      <c r="AC9" s="32">
        <v>1.4195091798930886</v>
      </c>
      <c r="AE9" s="20" t="s">
        <v>2</v>
      </c>
      <c r="AF9" s="21">
        <v>653.29999999999995</v>
      </c>
      <c r="AG9" s="22">
        <f t="shared" si="5"/>
        <v>199.12826139965858</v>
      </c>
      <c r="AH9" s="21">
        <v>58.425762117863691</v>
      </c>
      <c r="AI9" s="21"/>
      <c r="AJ9" s="24" t="s">
        <v>0</v>
      </c>
      <c r="AK9" s="23">
        <v>632.54999999999995</v>
      </c>
      <c r="AL9" s="22">
        <f t="shared" si="6"/>
        <v>192.8035844915874</v>
      </c>
      <c r="AM9" s="23">
        <v>51.82215209169712</v>
      </c>
      <c r="AN9" s="21"/>
      <c r="AO9" s="21"/>
      <c r="AP9" s="21"/>
      <c r="AQ9" s="21"/>
      <c r="AR9" s="21"/>
    </row>
    <row r="10" spans="1:44" ht="13" x14ac:dyDescent="0.35">
      <c r="A10" s="20" t="s">
        <v>2</v>
      </c>
      <c r="B10" s="21">
        <v>655.8</v>
      </c>
      <c r="C10" s="22">
        <f t="shared" si="0"/>
        <v>199.89027066569128</v>
      </c>
      <c r="D10" s="22">
        <v>4.5267901159069464</v>
      </c>
      <c r="E10" s="23"/>
      <c r="F10" s="24" t="s">
        <v>0</v>
      </c>
      <c r="G10" s="23">
        <v>640.79999999999995</v>
      </c>
      <c r="H10" s="22">
        <f t="shared" si="1"/>
        <v>195.31821506949521</v>
      </c>
      <c r="I10" s="25">
        <v>4.2643649894552347</v>
      </c>
      <c r="J10" s="23"/>
      <c r="K10" s="20" t="s">
        <v>7</v>
      </c>
      <c r="L10" s="21">
        <v>617.79999999999995</v>
      </c>
      <c r="M10" s="22">
        <f t="shared" si="2"/>
        <v>188.3077298219946</v>
      </c>
      <c r="N10" s="34">
        <v>4.0987467858335513</v>
      </c>
      <c r="O10" s="27"/>
      <c r="P10" s="37" t="s">
        <v>2</v>
      </c>
      <c r="Q10" s="29">
        <v>655.8</v>
      </c>
      <c r="R10" s="21">
        <v>655.8</v>
      </c>
      <c r="S10" s="30">
        <v>1.4459216257769361</v>
      </c>
      <c r="T10" s="19"/>
      <c r="U10" s="31" t="s">
        <v>0</v>
      </c>
      <c r="V10" s="29">
        <v>640.79999999999995</v>
      </c>
      <c r="W10" s="22">
        <f t="shared" si="3"/>
        <v>195.31821506949521</v>
      </c>
      <c r="X10" s="32">
        <v>1.3495123293389566</v>
      </c>
      <c r="Y10" s="19"/>
      <c r="Z10" s="31" t="s">
        <v>7</v>
      </c>
      <c r="AA10" s="29">
        <v>617.79999999999995</v>
      </c>
      <c r="AB10" s="22">
        <f t="shared" si="4"/>
        <v>188.3077298219946</v>
      </c>
      <c r="AC10" s="32">
        <v>1.4314133868590178</v>
      </c>
      <c r="AE10" s="20" t="s">
        <v>2</v>
      </c>
      <c r="AF10" s="21">
        <v>652.29999999999995</v>
      </c>
      <c r="AG10" s="22">
        <f t="shared" si="5"/>
        <v>198.82345769324553</v>
      </c>
      <c r="AH10" s="21">
        <v>47.593894974137605</v>
      </c>
      <c r="AI10" s="21"/>
      <c r="AJ10" s="24" t="s">
        <v>0</v>
      </c>
      <c r="AK10" s="23">
        <v>628.1</v>
      </c>
      <c r="AL10" s="22">
        <f t="shared" si="6"/>
        <v>191.44720799804927</v>
      </c>
      <c r="AM10" s="23">
        <v>60.18114896064494</v>
      </c>
      <c r="AN10" s="21"/>
      <c r="AO10" s="21"/>
      <c r="AP10" s="21"/>
      <c r="AQ10" s="21"/>
      <c r="AR10" s="21"/>
    </row>
    <row r="11" spans="1:44" ht="13" x14ac:dyDescent="0.35">
      <c r="A11" s="20" t="s">
        <v>2</v>
      </c>
      <c r="B11" s="21">
        <v>654.29999999999995</v>
      </c>
      <c r="C11" s="22">
        <f t="shared" si="0"/>
        <v>199.43306510607167</v>
      </c>
      <c r="D11" s="22">
        <v>4.6395206290965376</v>
      </c>
      <c r="E11" s="23"/>
      <c r="F11" s="24" t="s">
        <v>0</v>
      </c>
      <c r="G11" s="23">
        <v>639.04999999999995</v>
      </c>
      <c r="H11" s="22">
        <f t="shared" si="1"/>
        <v>194.78480858327234</v>
      </c>
      <c r="I11" s="25">
        <v>4.245710879236487</v>
      </c>
      <c r="J11" s="23"/>
      <c r="K11" s="23"/>
      <c r="L11" s="23"/>
      <c r="M11" s="23"/>
      <c r="N11" s="23"/>
      <c r="O11" s="27"/>
      <c r="P11" s="37" t="s">
        <v>2</v>
      </c>
      <c r="Q11" s="29">
        <v>654.29999999999995</v>
      </c>
      <c r="R11" s="21">
        <v>654.29999999999995</v>
      </c>
      <c r="S11" s="30">
        <v>1.448042253374578</v>
      </c>
      <c r="T11" s="19"/>
      <c r="U11" s="31" t="s">
        <v>0</v>
      </c>
      <c r="V11" s="29">
        <v>639.04999999999995</v>
      </c>
      <c r="W11" s="22">
        <f t="shared" si="3"/>
        <v>194.78480858327234</v>
      </c>
      <c r="X11" s="32">
        <v>1.3911755387804172</v>
      </c>
      <c r="Y11" s="19"/>
      <c r="Z11" s="29"/>
      <c r="AA11" s="29"/>
      <c r="AB11" s="29"/>
      <c r="AC11" s="29"/>
      <c r="AE11" s="20" t="s">
        <v>2</v>
      </c>
      <c r="AF11" s="21">
        <v>645.54999999999995</v>
      </c>
      <c r="AG11" s="22">
        <f t="shared" si="5"/>
        <v>196.7660326749573</v>
      </c>
      <c r="AH11" s="21">
        <v>57.29910408184103</v>
      </c>
      <c r="AI11" s="21"/>
      <c r="AJ11" s="24" t="s">
        <v>0</v>
      </c>
      <c r="AK11" s="23">
        <v>623.45000000000005</v>
      </c>
      <c r="AL11" s="22">
        <f t="shared" si="6"/>
        <v>190.02987076322847</v>
      </c>
      <c r="AM11" s="23">
        <v>52.427138537844264</v>
      </c>
      <c r="AN11" s="21"/>
      <c r="AO11" s="21"/>
      <c r="AP11" s="21"/>
      <c r="AQ11" s="21"/>
      <c r="AR11" s="21"/>
    </row>
    <row r="12" spans="1:44" ht="13" x14ac:dyDescent="0.35">
      <c r="A12" s="20" t="s">
        <v>2</v>
      </c>
      <c r="B12" s="21">
        <v>653.29999999999995</v>
      </c>
      <c r="C12" s="22">
        <f t="shared" si="0"/>
        <v>199.12826139965858</v>
      </c>
      <c r="D12" s="22">
        <v>4.2436614267795258</v>
      </c>
      <c r="E12" s="23"/>
      <c r="F12" s="24" t="s">
        <v>0</v>
      </c>
      <c r="G12" s="23">
        <v>637.04999999999995</v>
      </c>
      <c r="H12" s="22">
        <f t="shared" si="1"/>
        <v>194.1752011704462</v>
      </c>
      <c r="I12" s="25">
        <v>4.4371846802624217</v>
      </c>
      <c r="J12" s="23"/>
      <c r="K12" s="23"/>
      <c r="L12" s="23"/>
      <c r="M12" s="23"/>
      <c r="N12" s="23"/>
      <c r="O12" s="27"/>
      <c r="P12" s="37" t="s">
        <v>2</v>
      </c>
      <c r="Q12" s="29">
        <v>653.29999999999995</v>
      </c>
      <c r="R12" s="21">
        <v>653.29999999999995</v>
      </c>
      <c r="S12" s="30">
        <v>1.4226476387033724</v>
      </c>
      <c r="T12" s="19"/>
      <c r="U12" s="31" t="s">
        <v>0</v>
      </c>
      <c r="V12" s="29">
        <v>637.04999999999995</v>
      </c>
      <c r="W12" s="22">
        <f t="shared" si="3"/>
        <v>194.1752011704462</v>
      </c>
      <c r="X12" s="32">
        <v>1.3905277975347443</v>
      </c>
      <c r="Y12" s="19"/>
      <c r="Z12" s="29"/>
      <c r="AA12" s="29"/>
      <c r="AB12" s="29"/>
      <c r="AC12" s="29"/>
      <c r="AE12" s="20" t="s">
        <v>2</v>
      </c>
      <c r="AF12" s="21">
        <v>631.75</v>
      </c>
      <c r="AG12" s="22">
        <f t="shared" si="5"/>
        <v>192.55974152645695</v>
      </c>
      <c r="AH12" s="21">
        <v>65.776509842154255</v>
      </c>
      <c r="AI12" s="21"/>
      <c r="AJ12" s="24" t="s">
        <v>0</v>
      </c>
      <c r="AK12" s="23">
        <v>621.29999999999995</v>
      </c>
      <c r="AL12" s="22">
        <f t="shared" si="6"/>
        <v>189.37454279444034</v>
      </c>
      <c r="AM12" s="23">
        <v>82.060774511839895</v>
      </c>
      <c r="AN12" s="21"/>
      <c r="AO12" s="21"/>
      <c r="AP12" s="21"/>
      <c r="AQ12" s="21"/>
      <c r="AR12" s="21"/>
    </row>
    <row r="13" spans="1:44" ht="13" x14ac:dyDescent="0.35">
      <c r="A13" s="20" t="s">
        <v>2</v>
      </c>
      <c r="B13" s="21">
        <v>652.29999999999995</v>
      </c>
      <c r="C13" s="22">
        <f t="shared" si="0"/>
        <v>198.82345769324553</v>
      </c>
      <c r="D13" s="22">
        <v>4.3744919786437526</v>
      </c>
      <c r="E13" s="23"/>
      <c r="F13" s="24" t="s">
        <v>0</v>
      </c>
      <c r="G13" s="23">
        <v>632.54999999999995</v>
      </c>
      <c r="H13" s="22">
        <f t="shared" si="1"/>
        <v>192.8035844915874</v>
      </c>
      <c r="I13" s="25">
        <v>4.0406824640825496</v>
      </c>
      <c r="J13" s="23"/>
      <c r="K13" s="23"/>
      <c r="L13" s="23"/>
      <c r="M13" s="23"/>
      <c r="N13" s="23"/>
      <c r="O13" s="27"/>
      <c r="P13" s="37" t="s">
        <v>2</v>
      </c>
      <c r="Q13" s="29">
        <v>652.29999999999995</v>
      </c>
      <c r="R13" s="21">
        <v>652.29999999999995</v>
      </c>
      <c r="S13" s="30">
        <v>1.4983183408976448</v>
      </c>
      <c r="T13" s="19"/>
      <c r="U13" s="31" t="s">
        <v>0</v>
      </c>
      <c r="V13" s="29">
        <v>632.54999999999995</v>
      </c>
      <c r="W13" s="22">
        <f t="shared" si="3"/>
        <v>192.8035844915874</v>
      </c>
      <c r="X13" s="32">
        <v>1.4359826369648896</v>
      </c>
      <c r="Y13" s="19"/>
      <c r="Z13" s="29"/>
      <c r="AA13" s="29"/>
      <c r="AB13" s="29"/>
      <c r="AC13" s="29"/>
      <c r="AE13" s="20" t="s">
        <v>2</v>
      </c>
      <c r="AF13" s="21">
        <v>624.45000000000005</v>
      </c>
      <c r="AG13" s="22">
        <f t="shared" si="5"/>
        <v>190.33467446964156</v>
      </c>
      <c r="AH13" s="21">
        <v>51.639801734917093</v>
      </c>
      <c r="AI13" s="21"/>
      <c r="AJ13" s="24" t="s">
        <v>0</v>
      </c>
      <c r="AK13" s="23">
        <v>618.04999999999995</v>
      </c>
      <c r="AL13" s="22">
        <f t="shared" si="6"/>
        <v>188.38393074859789</v>
      </c>
      <c r="AM13" s="23">
        <v>76.599961854507384</v>
      </c>
      <c r="AN13" s="21"/>
      <c r="AO13" s="21"/>
      <c r="AP13" s="21"/>
      <c r="AQ13" s="21"/>
      <c r="AR13" s="21"/>
    </row>
    <row r="14" spans="1:44" ht="13" x14ac:dyDescent="0.35">
      <c r="A14" s="20" t="s">
        <v>2</v>
      </c>
      <c r="B14" s="21">
        <v>645.54999999999995</v>
      </c>
      <c r="C14" s="22">
        <f t="shared" si="0"/>
        <v>196.7660326749573</v>
      </c>
      <c r="D14" s="22">
        <v>4.593680793248792</v>
      </c>
      <c r="E14" s="23"/>
      <c r="F14" s="24" t="s">
        <v>0</v>
      </c>
      <c r="G14" s="23">
        <v>628.1</v>
      </c>
      <c r="H14" s="22">
        <f t="shared" si="1"/>
        <v>191.44720799804927</v>
      </c>
      <c r="I14" s="25">
        <v>4.1579814895178622</v>
      </c>
      <c r="J14" s="23"/>
      <c r="K14" s="23"/>
      <c r="L14" s="23"/>
      <c r="M14" s="23"/>
      <c r="N14" s="23"/>
      <c r="O14" s="27"/>
      <c r="P14" s="37" t="s">
        <v>2</v>
      </c>
      <c r="Q14" s="29">
        <v>645.54999999999995</v>
      </c>
      <c r="R14" s="21">
        <v>645.54999999999995</v>
      </c>
      <c r="S14" s="30">
        <v>1.4699734966279898</v>
      </c>
      <c r="T14" s="19"/>
      <c r="U14" s="31" t="s">
        <v>0</v>
      </c>
      <c r="V14" s="29">
        <v>628.1</v>
      </c>
      <c r="W14" s="22">
        <f t="shared" si="3"/>
        <v>191.44720799804927</v>
      </c>
      <c r="X14" s="32">
        <v>1.4149827051163144</v>
      </c>
      <c r="Y14" s="19"/>
      <c r="Z14" s="19"/>
      <c r="AA14" s="19"/>
      <c r="AB14" s="19"/>
      <c r="AC14" s="19"/>
      <c r="AE14" s="20" t="s">
        <v>2</v>
      </c>
      <c r="AF14" s="21">
        <v>618.79999999999995</v>
      </c>
      <c r="AG14" s="22">
        <f t="shared" si="5"/>
        <v>188.61253352840768</v>
      </c>
      <c r="AH14" s="21">
        <v>62.711300579998543</v>
      </c>
      <c r="AI14" s="21"/>
      <c r="AJ14" s="24" t="s">
        <v>0</v>
      </c>
      <c r="AK14" s="23">
        <v>613.75</v>
      </c>
      <c r="AL14" s="22">
        <f t="shared" si="6"/>
        <v>187.07327481102169</v>
      </c>
      <c r="AM14" s="23">
        <v>62.831238437199765</v>
      </c>
      <c r="AN14" s="21"/>
      <c r="AO14" s="21"/>
      <c r="AP14" s="21"/>
      <c r="AQ14" s="21"/>
      <c r="AR14" s="21"/>
    </row>
    <row r="15" spans="1:44" ht="13" x14ac:dyDescent="0.35">
      <c r="A15" s="20" t="s">
        <v>2</v>
      </c>
      <c r="B15" s="21">
        <v>631.75</v>
      </c>
      <c r="C15" s="22">
        <f t="shared" si="0"/>
        <v>192.55974152645695</v>
      </c>
      <c r="D15" s="22">
        <v>4.0937122899575753</v>
      </c>
      <c r="E15" s="23"/>
      <c r="F15" s="24" t="s">
        <v>0</v>
      </c>
      <c r="G15" s="23">
        <v>623.45000000000005</v>
      </c>
      <c r="H15" s="22">
        <f t="shared" si="1"/>
        <v>190.02987076322847</v>
      </c>
      <c r="I15" s="25">
        <v>3.7342710515771933</v>
      </c>
      <c r="J15" s="23"/>
      <c r="K15" s="23"/>
      <c r="L15" s="23"/>
      <c r="M15" s="23"/>
      <c r="N15" s="23"/>
      <c r="O15" s="27"/>
      <c r="P15" s="37" t="s">
        <v>2</v>
      </c>
      <c r="Q15" s="29">
        <v>631.75</v>
      </c>
      <c r="R15" s="21">
        <v>631.75</v>
      </c>
      <c r="S15" s="30">
        <v>1.413904685525798</v>
      </c>
      <c r="T15" s="19"/>
      <c r="U15" s="31" t="s">
        <v>0</v>
      </c>
      <c r="V15" s="29">
        <v>623.45000000000005</v>
      </c>
      <c r="W15" s="22">
        <f t="shared" si="3"/>
        <v>190.02987076322847</v>
      </c>
      <c r="X15" s="32">
        <v>1.3776611194546216</v>
      </c>
      <c r="Y15" s="19"/>
      <c r="Z15" s="19"/>
      <c r="AA15" s="19"/>
      <c r="AB15" s="19"/>
      <c r="AC15" s="19"/>
      <c r="AE15" s="20" t="s">
        <v>2</v>
      </c>
      <c r="AF15" s="21">
        <v>615.65000000000009</v>
      </c>
      <c r="AG15" s="22">
        <f t="shared" si="5"/>
        <v>187.65240185320656</v>
      </c>
      <c r="AH15" s="21">
        <v>63.14817536878234</v>
      </c>
      <c r="AI15" s="21"/>
      <c r="AJ15" s="21"/>
      <c r="AK15" s="21"/>
      <c r="AL15" s="21"/>
      <c r="AM15" s="21"/>
      <c r="AN15" s="21"/>
      <c r="AO15" s="21"/>
      <c r="AP15" s="21"/>
      <c r="AQ15" s="21"/>
      <c r="AR15" s="21"/>
    </row>
    <row r="16" spans="1:44" ht="13" x14ac:dyDescent="0.35">
      <c r="A16" s="20" t="s">
        <v>2</v>
      </c>
      <c r="B16" s="21">
        <v>624.45000000000005</v>
      </c>
      <c r="C16" s="22">
        <f t="shared" si="0"/>
        <v>190.33467446964156</v>
      </c>
      <c r="D16" s="22">
        <v>3.8027611748542194</v>
      </c>
      <c r="E16" s="23"/>
      <c r="F16" s="24" t="s">
        <v>0</v>
      </c>
      <c r="G16" s="23">
        <v>621.29999999999995</v>
      </c>
      <c r="H16" s="22">
        <f t="shared" si="1"/>
        <v>189.37454279444034</v>
      </c>
      <c r="I16" s="25">
        <v>3.6315890574609098</v>
      </c>
      <c r="J16" s="23"/>
      <c r="K16" s="23"/>
      <c r="L16" s="23"/>
      <c r="M16" s="23"/>
      <c r="N16" s="23"/>
      <c r="O16" s="27"/>
      <c r="P16" s="37" t="s">
        <v>2</v>
      </c>
      <c r="Q16" s="29">
        <v>624.45000000000005</v>
      </c>
      <c r="R16" s="21">
        <v>624.45000000000005</v>
      </c>
      <c r="S16" s="30">
        <v>1.428266163439988</v>
      </c>
      <c r="T16" s="19"/>
      <c r="U16" s="31" t="s">
        <v>0</v>
      </c>
      <c r="V16" s="29">
        <v>621.29999999999995</v>
      </c>
      <c r="W16" s="22">
        <f t="shared" si="3"/>
        <v>189.37454279444034</v>
      </c>
      <c r="X16" s="32">
        <v>1.3541388909136138</v>
      </c>
      <c r="Y16" s="19"/>
      <c r="Z16" s="19"/>
      <c r="AA16" s="19"/>
      <c r="AB16" s="19"/>
      <c r="AC16" s="19"/>
      <c r="AE16" s="20" t="s">
        <v>2</v>
      </c>
      <c r="AF16" s="21">
        <v>609.90000000000009</v>
      </c>
      <c r="AG16" s="22">
        <f t="shared" si="5"/>
        <v>185.89978054133141</v>
      </c>
      <c r="AH16" s="21">
        <v>57.064936891682599</v>
      </c>
      <c r="AI16" s="21"/>
      <c r="AJ16" s="21"/>
      <c r="AK16" s="21"/>
      <c r="AL16" s="21"/>
      <c r="AM16" s="21"/>
      <c r="AN16" s="21"/>
      <c r="AO16" s="21"/>
      <c r="AP16" s="21"/>
      <c r="AQ16" s="21"/>
      <c r="AR16" s="21"/>
    </row>
    <row r="17" spans="1:44" ht="13" x14ac:dyDescent="0.35">
      <c r="A17" s="20" t="s">
        <v>2</v>
      </c>
      <c r="B17" s="21">
        <v>618.79999999999995</v>
      </c>
      <c r="C17" s="22">
        <f t="shared" si="0"/>
        <v>188.61253352840768</v>
      </c>
      <c r="D17" s="22">
        <v>3.3443046603245299</v>
      </c>
      <c r="E17" s="23"/>
      <c r="F17" s="24" t="s">
        <v>0</v>
      </c>
      <c r="G17" s="23">
        <v>618.04999999999995</v>
      </c>
      <c r="H17" s="22">
        <f t="shared" si="1"/>
        <v>188.38393074859789</v>
      </c>
      <c r="I17" s="25">
        <v>3.5787507781217238</v>
      </c>
      <c r="J17" s="23"/>
      <c r="K17" s="23"/>
      <c r="L17" s="23"/>
      <c r="M17" s="23"/>
      <c r="N17" s="23"/>
      <c r="O17" s="27"/>
      <c r="P17" s="37" t="s">
        <v>2</v>
      </c>
      <c r="Q17" s="29">
        <v>618.79999999999995</v>
      </c>
      <c r="R17" s="21">
        <v>618.79999999999995</v>
      </c>
      <c r="S17" s="30">
        <v>1.4907161015972163</v>
      </c>
      <c r="T17" s="19"/>
      <c r="U17" s="31" t="s">
        <v>0</v>
      </c>
      <c r="V17" s="29">
        <v>618.04999999999995</v>
      </c>
      <c r="W17" s="22">
        <f t="shared" si="3"/>
        <v>188.38393074859789</v>
      </c>
      <c r="X17" s="32">
        <v>1.3921765614988288</v>
      </c>
      <c r="Y17" s="19"/>
      <c r="Z17" s="19"/>
      <c r="AA17" s="19"/>
      <c r="AB17" s="19"/>
      <c r="AC17" s="19"/>
      <c r="AE17" s="20" t="s">
        <v>2</v>
      </c>
      <c r="AF17" s="21">
        <v>599.20000000000005</v>
      </c>
      <c r="AG17" s="22">
        <f t="shared" si="5"/>
        <v>182.63838088271154</v>
      </c>
      <c r="AH17" s="21">
        <v>65.144812146514539</v>
      </c>
      <c r="AI17" s="21"/>
      <c r="AJ17" s="21"/>
      <c r="AK17" s="21"/>
      <c r="AL17" s="21"/>
      <c r="AM17" s="21"/>
      <c r="AN17" s="21"/>
      <c r="AO17" s="21"/>
      <c r="AP17" s="21"/>
      <c r="AQ17" s="21"/>
      <c r="AR17" s="21"/>
    </row>
    <row r="18" spans="1:44" ht="13" x14ac:dyDescent="0.35">
      <c r="A18" s="20" t="s">
        <v>2</v>
      </c>
      <c r="B18" s="21">
        <v>615.65000000000009</v>
      </c>
      <c r="C18" s="22">
        <f t="shared" si="0"/>
        <v>187.65240185320656</v>
      </c>
      <c r="D18" s="22">
        <v>3.9981942941775914</v>
      </c>
      <c r="E18" s="23"/>
      <c r="F18" s="24" t="s">
        <v>0</v>
      </c>
      <c r="G18" s="23">
        <v>613.75</v>
      </c>
      <c r="H18" s="22">
        <f t="shared" si="1"/>
        <v>187.07327481102169</v>
      </c>
      <c r="I18" s="25">
        <v>3.7068155757765271</v>
      </c>
      <c r="J18" s="23"/>
      <c r="K18" s="23"/>
      <c r="L18" s="23"/>
      <c r="M18" s="23"/>
      <c r="N18" s="23"/>
      <c r="O18" s="27"/>
      <c r="P18" s="37" t="s">
        <v>2</v>
      </c>
      <c r="Q18" s="29">
        <v>615.65000000000009</v>
      </c>
      <c r="R18" s="21">
        <v>615.65000000000009</v>
      </c>
      <c r="S18" s="30">
        <v>1.3167133886076872</v>
      </c>
      <c r="T18" s="19"/>
      <c r="U18" s="31" t="s">
        <v>0</v>
      </c>
      <c r="V18" s="29">
        <v>613.75</v>
      </c>
      <c r="W18" s="22">
        <f t="shared" si="3"/>
        <v>187.07327481102169</v>
      </c>
      <c r="X18" s="32">
        <v>1.3323727494364399</v>
      </c>
      <c r="Y18" s="19"/>
      <c r="Z18" s="19"/>
      <c r="AA18" s="19"/>
      <c r="AB18" s="19"/>
      <c r="AC18" s="19"/>
      <c r="AE18" s="23"/>
      <c r="AF18" s="23"/>
      <c r="AG18" s="23"/>
      <c r="AH18" s="23"/>
      <c r="AI18" s="21"/>
      <c r="AJ18" s="21"/>
      <c r="AK18" s="21"/>
      <c r="AL18" s="21"/>
      <c r="AM18" s="21"/>
      <c r="AN18" s="21"/>
      <c r="AO18" s="21"/>
      <c r="AP18" s="21"/>
      <c r="AQ18" s="21"/>
      <c r="AR18" s="21"/>
    </row>
    <row r="19" spans="1:44" ht="13" x14ac:dyDescent="0.35">
      <c r="A19" s="20" t="s">
        <v>2</v>
      </c>
      <c r="B19" s="21">
        <v>609.90000000000009</v>
      </c>
      <c r="C19" s="22">
        <f t="shared" si="0"/>
        <v>185.89978054133141</v>
      </c>
      <c r="D19" s="22">
        <v>3.6290250210467856</v>
      </c>
      <c r="E19" s="23"/>
      <c r="F19" s="24" t="s">
        <v>0</v>
      </c>
      <c r="G19" s="23">
        <v>599.20000000000005</v>
      </c>
      <c r="H19" s="22">
        <f t="shared" si="1"/>
        <v>182.63838088271154</v>
      </c>
      <c r="I19" s="25">
        <v>4.3476552227197658</v>
      </c>
      <c r="J19" s="23"/>
      <c r="K19" s="23"/>
      <c r="L19" s="23"/>
      <c r="M19" s="23"/>
      <c r="N19" s="23"/>
      <c r="O19" s="27"/>
      <c r="P19" s="37" t="s">
        <v>2</v>
      </c>
      <c r="Q19" s="29">
        <v>609.90000000000009</v>
      </c>
      <c r="R19" s="21">
        <v>609.90000000000009</v>
      </c>
      <c r="S19" s="39">
        <v>1.3265114227368431</v>
      </c>
      <c r="T19" s="19"/>
      <c r="U19" s="31" t="s">
        <v>0</v>
      </c>
      <c r="V19" s="29">
        <v>599.20000000000005</v>
      </c>
      <c r="W19" s="22">
        <f t="shared" si="3"/>
        <v>182.63838088271154</v>
      </c>
      <c r="X19" s="32">
        <v>1.5022360941030068</v>
      </c>
      <c r="Y19" s="19"/>
      <c r="Z19" s="19"/>
      <c r="AA19" s="19"/>
      <c r="AB19" s="19"/>
      <c r="AC19" s="19"/>
    </row>
    <row r="20" spans="1:44" ht="13" x14ac:dyDescent="0.35">
      <c r="A20" s="20" t="s">
        <v>2</v>
      </c>
      <c r="B20" s="21">
        <v>599.20000000000005</v>
      </c>
      <c r="C20" s="22">
        <f t="shared" si="0"/>
        <v>182.63838088271154</v>
      </c>
      <c r="D20" s="22">
        <v>3.65536466739638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7"/>
      <c r="P20" s="37" t="s">
        <v>2</v>
      </c>
      <c r="Q20" s="29">
        <v>599.20000000000005</v>
      </c>
      <c r="R20" s="21">
        <v>599.20000000000005</v>
      </c>
      <c r="S20" s="39">
        <v>1.39102329181755</v>
      </c>
      <c r="T20" s="19"/>
      <c r="U20" s="28"/>
      <c r="V20" s="19"/>
      <c r="W20" s="19"/>
      <c r="X20" s="19"/>
      <c r="Y20" s="19"/>
      <c r="Z20" s="19"/>
      <c r="AA20" s="19"/>
      <c r="AB20" s="19"/>
      <c r="AC20" s="19"/>
    </row>
    <row r="21" spans="1:44" x14ac:dyDescent="0.35">
      <c r="A21" s="21"/>
      <c r="B21" s="21"/>
      <c r="C21" s="21"/>
      <c r="D21" s="21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7"/>
      <c r="P21" s="40"/>
      <c r="Q21" s="40"/>
      <c r="R21" s="41"/>
      <c r="S21" s="41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spans="1:44" x14ac:dyDescent="0.3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9"/>
  <sheetViews>
    <sheetView tabSelected="1" topLeftCell="H1" zoomScale="58" zoomScaleNormal="80" workbookViewId="0">
      <selection activeCell="O26" sqref="O26"/>
    </sheetView>
  </sheetViews>
  <sheetFormatPr defaultRowHeight="12.5" x14ac:dyDescent="0.25"/>
  <cols>
    <col min="1" max="1" width="20.90625" style="3" customWidth="1"/>
    <col min="2" max="2" width="20.6328125" style="3" customWidth="1"/>
    <col min="3" max="3" width="8.7265625" style="3" customWidth="1"/>
    <col min="4" max="4" width="8.7265625" style="53"/>
    <col min="5" max="7" width="8.7265625" style="3"/>
    <col min="8" max="8" width="17.1796875" style="3" bestFit="1" customWidth="1"/>
    <col min="9" max="9" width="9.54296875" style="3" customWidth="1"/>
    <col min="10" max="12" width="8.7265625" style="3" customWidth="1"/>
    <col min="13" max="17" width="8.7265625" style="3"/>
    <col min="18" max="18" width="8.54296875" style="3" customWidth="1"/>
    <col min="19" max="19" width="8.7265625" style="3"/>
    <col min="20" max="20" width="23.453125" style="11" customWidth="1"/>
    <col min="21" max="21" width="26.54296875" style="3" customWidth="1"/>
    <col min="22" max="22" width="17.1796875" style="11" customWidth="1"/>
    <col min="23" max="23" width="16.54296875" style="11" customWidth="1"/>
    <col min="24" max="16384" width="8.7265625" style="3"/>
  </cols>
  <sheetData>
    <row r="1" spans="1:28" ht="102" customHeight="1" x14ac:dyDescent="0.25">
      <c r="A1" s="2" t="s">
        <v>3</v>
      </c>
      <c r="B1" s="17" t="s">
        <v>22</v>
      </c>
      <c r="C1" s="2" t="s">
        <v>5</v>
      </c>
      <c r="D1" s="55" t="s">
        <v>4</v>
      </c>
      <c r="E1" s="2" t="s">
        <v>11</v>
      </c>
      <c r="F1" s="10" t="s">
        <v>12</v>
      </c>
      <c r="H1" s="17" t="s">
        <v>3</v>
      </c>
      <c r="I1" s="2" t="s">
        <v>5</v>
      </c>
      <c r="J1" s="17" t="s">
        <v>4</v>
      </c>
      <c r="K1" s="17" t="s">
        <v>11</v>
      </c>
      <c r="L1" s="10" t="s">
        <v>29</v>
      </c>
      <c r="M1" s="46" t="s">
        <v>28</v>
      </c>
      <c r="N1" s="46" t="s">
        <v>28</v>
      </c>
      <c r="O1" s="46" t="s">
        <v>28</v>
      </c>
      <c r="P1" s="46" t="s">
        <v>28</v>
      </c>
      <c r="Q1" s="46" t="s">
        <v>28</v>
      </c>
      <c r="T1" s="17" t="s">
        <v>3</v>
      </c>
      <c r="U1" s="17" t="s">
        <v>22</v>
      </c>
      <c r="V1" s="17" t="s">
        <v>18</v>
      </c>
      <c r="W1" s="17" t="s">
        <v>17</v>
      </c>
      <c r="X1" s="17" t="s">
        <v>5</v>
      </c>
      <c r="Y1" s="17" t="s">
        <v>4</v>
      </c>
      <c r="Z1" s="17" t="s">
        <v>11</v>
      </c>
      <c r="AA1" s="10" t="s">
        <v>12</v>
      </c>
      <c r="AB1" s="10" t="s">
        <v>14</v>
      </c>
    </row>
    <row r="2" spans="1:28" ht="14.5" x14ac:dyDescent="0.35">
      <c r="A2" s="6" t="s">
        <v>6</v>
      </c>
      <c r="B2" s="42" t="s">
        <v>15</v>
      </c>
      <c r="C2" s="7">
        <v>670.8618422208001</v>
      </c>
      <c r="D2" s="56">
        <v>204.481176</v>
      </c>
      <c r="E2" s="12">
        <v>9.39</v>
      </c>
      <c r="F2" s="13">
        <v>0.84</v>
      </c>
      <c r="G2"/>
      <c r="H2"/>
      <c r="I2"/>
      <c r="J2"/>
      <c r="K2"/>
      <c r="L2"/>
      <c r="M2" s="49">
        <v>2.5000000000000001E-2</v>
      </c>
      <c r="N2" s="50">
        <v>0.14000000000000001</v>
      </c>
      <c r="O2" s="50">
        <v>0.5</v>
      </c>
      <c r="P2" s="50">
        <v>0.86</v>
      </c>
      <c r="Q2" s="49">
        <v>0.97499999999999998</v>
      </c>
      <c r="R2"/>
      <c r="S2"/>
      <c r="T2" s="6" t="s">
        <v>6</v>
      </c>
      <c r="U2" s="43" t="s">
        <v>16</v>
      </c>
      <c r="V2" s="42" t="s">
        <v>26</v>
      </c>
      <c r="W2" s="42" t="s">
        <v>21</v>
      </c>
      <c r="X2" s="11">
        <v>1183.93</v>
      </c>
      <c r="Y2" s="12">
        <v>360.86</v>
      </c>
      <c r="Z2" s="12">
        <v>12.097127927863864</v>
      </c>
      <c r="AA2" s="12">
        <v>0.92852508591140748</v>
      </c>
      <c r="AB2" s="12">
        <v>140.62324337511873</v>
      </c>
    </row>
    <row r="3" spans="1:28" ht="14.5" x14ac:dyDescent="0.35">
      <c r="A3" s="6" t="s">
        <v>6</v>
      </c>
      <c r="B3" s="42" t="s">
        <v>15</v>
      </c>
      <c r="C3" s="7">
        <v>670.8618422208001</v>
      </c>
      <c r="D3" s="56">
        <v>204.481176</v>
      </c>
      <c r="E3" s="12">
        <v>11.01</v>
      </c>
      <c r="F3" s="13">
        <v>0.6</v>
      </c>
      <c r="G3"/>
      <c r="H3" s="6" t="s">
        <v>6</v>
      </c>
      <c r="I3" s="7">
        <v>670.85798399999999</v>
      </c>
      <c r="J3" s="48">
        <v>204.48</v>
      </c>
      <c r="K3" s="48">
        <v>11.978750000000002</v>
      </c>
      <c r="L3" s="48">
        <v>1.3448390105457591</v>
      </c>
      <c r="M3" s="48">
        <v>7.4281018204977096</v>
      </c>
      <c r="N3" s="48">
        <v>7.6010068763357896</v>
      </c>
      <c r="O3" s="48">
        <v>7.7594076593241699</v>
      </c>
      <c r="P3" s="48">
        <v>7.8832018676271502</v>
      </c>
      <c r="Q3" s="48">
        <v>7.9653676682751202</v>
      </c>
      <c r="R3"/>
      <c r="S3"/>
      <c r="T3" s="6" t="s">
        <v>6</v>
      </c>
      <c r="U3" s="43" t="s">
        <v>16</v>
      </c>
      <c r="V3" s="42" t="s">
        <v>26</v>
      </c>
      <c r="W3" s="42" t="s">
        <v>21</v>
      </c>
      <c r="X3" s="11">
        <v>1183.93</v>
      </c>
      <c r="Y3" s="12">
        <v>360.86</v>
      </c>
      <c r="Z3" s="12">
        <v>11.451202048318201</v>
      </c>
      <c r="AA3" s="12">
        <v>0.89039709780698462</v>
      </c>
      <c r="AB3" s="12">
        <v>141.9508778326198</v>
      </c>
    </row>
    <row r="4" spans="1:28" ht="14.5" x14ac:dyDescent="0.35">
      <c r="A4" s="6" t="s">
        <v>6</v>
      </c>
      <c r="B4" s="42" t="s">
        <v>15</v>
      </c>
      <c r="C4" s="7">
        <v>670.8618422208001</v>
      </c>
      <c r="D4" s="56">
        <v>204.481176</v>
      </c>
      <c r="E4" s="12">
        <v>11.4</v>
      </c>
      <c r="F4" s="13">
        <v>0.42</v>
      </c>
      <c r="G4"/>
      <c r="H4" s="6" t="s">
        <v>6</v>
      </c>
      <c r="I4" s="7">
        <v>675.17198447200008</v>
      </c>
      <c r="J4" s="48">
        <v>205.79492333333334</v>
      </c>
      <c r="K4" s="48">
        <v>11.987499999999999</v>
      </c>
      <c r="L4" s="48">
        <v>1.107639108166282</v>
      </c>
      <c r="M4" s="48">
        <v>7.4731831744880104</v>
      </c>
      <c r="N4" s="48">
        <v>7.6183714269413203</v>
      </c>
      <c r="O4" s="48">
        <v>7.7532057434033304</v>
      </c>
      <c r="P4" s="48">
        <v>7.8647946979889296</v>
      </c>
      <c r="Q4" s="48">
        <v>7.9425931786674502</v>
      </c>
      <c r="R4"/>
      <c r="S4"/>
      <c r="T4" s="6" t="s">
        <v>6</v>
      </c>
      <c r="U4" s="43" t="s">
        <v>16</v>
      </c>
      <c r="V4" s="42" t="s">
        <v>26</v>
      </c>
      <c r="W4" s="42" t="s">
        <v>21</v>
      </c>
      <c r="X4" s="11">
        <v>1183.93</v>
      </c>
      <c r="Y4" s="12">
        <v>360.86</v>
      </c>
      <c r="Z4" s="12">
        <v>12.296272881557664</v>
      </c>
      <c r="AA4" s="12">
        <v>1.1297617958054458</v>
      </c>
      <c r="AB4" s="12">
        <v>159.2839390845611</v>
      </c>
    </row>
    <row r="5" spans="1:28" ht="14.5" x14ac:dyDescent="0.35">
      <c r="A5" s="6" t="s">
        <v>6</v>
      </c>
      <c r="B5" s="42" t="s">
        <v>15</v>
      </c>
      <c r="C5" s="7">
        <v>670.8618422208001</v>
      </c>
      <c r="D5" s="56">
        <v>204.481176</v>
      </c>
      <c r="E5" s="12">
        <v>12.96</v>
      </c>
      <c r="F5" s="13">
        <v>0.64</v>
      </c>
      <c r="G5"/>
      <c r="H5" s="6" t="s">
        <v>6</v>
      </c>
      <c r="I5" s="7">
        <v>677.51503690752008</v>
      </c>
      <c r="J5" s="48">
        <v>206.50909440000001</v>
      </c>
      <c r="K5" s="48">
        <v>11.201999999999998</v>
      </c>
      <c r="L5" s="48">
        <v>1.3664538045612813</v>
      </c>
      <c r="M5" s="48">
        <v>7.0909635404529503</v>
      </c>
      <c r="N5" s="48">
        <v>7.3977979450880502</v>
      </c>
      <c r="O5" s="48">
        <v>7.6120855571863801</v>
      </c>
      <c r="P5" s="48">
        <v>7.7655147048028796</v>
      </c>
      <c r="Q5" s="48">
        <v>7.86879836133018</v>
      </c>
      <c r="R5"/>
      <c r="S5"/>
      <c r="T5" s="6" t="s">
        <v>6</v>
      </c>
      <c r="U5" s="43" t="s">
        <v>16</v>
      </c>
      <c r="V5" s="42" t="s">
        <v>26</v>
      </c>
      <c r="W5" s="42" t="s">
        <v>21</v>
      </c>
      <c r="X5" s="11">
        <v>1183.93</v>
      </c>
      <c r="Y5" s="12">
        <v>360.86</v>
      </c>
      <c r="Z5" s="12">
        <v>13.565814115959643</v>
      </c>
      <c r="AA5" s="12">
        <v>1.2749267744355417</v>
      </c>
      <c r="AB5" s="12">
        <v>138.91883928139137</v>
      </c>
    </row>
    <row r="6" spans="1:28" ht="14.5" x14ac:dyDescent="0.35">
      <c r="A6" s="6" t="s">
        <v>6</v>
      </c>
      <c r="B6" s="42" t="s">
        <v>15</v>
      </c>
      <c r="C6" s="7">
        <v>670.8618422208001</v>
      </c>
      <c r="D6" s="56">
        <v>204.481176</v>
      </c>
      <c r="E6" s="12">
        <v>14.55</v>
      </c>
      <c r="F6" s="13">
        <v>0.86</v>
      </c>
      <c r="G6"/>
      <c r="H6" s="6" t="s">
        <v>6</v>
      </c>
      <c r="I6" s="7">
        <v>680.79928918399992</v>
      </c>
      <c r="J6" s="48">
        <v>207.51014666666663</v>
      </c>
      <c r="K6" s="48">
        <v>10.677777777777779</v>
      </c>
      <c r="L6" s="48">
        <v>1.2791263415045646</v>
      </c>
      <c r="M6" s="48">
        <v>6.7738369711386301</v>
      </c>
      <c r="N6" s="48">
        <v>7.1992852217864103</v>
      </c>
      <c r="O6" s="48">
        <v>7.4739000507231301</v>
      </c>
      <c r="P6" s="48">
        <v>7.6511598075419602</v>
      </c>
      <c r="Q6" s="48">
        <v>7.7579909927118704</v>
      </c>
      <c r="R6"/>
      <c r="S6"/>
      <c r="T6" s="6" t="s">
        <v>6</v>
      </c>
      <c r="U6" s="43" t="s">
        <v>16</v>
      </c>
      <c r="V6" s="42" t="s">
        <v>26</v>
      </c>
      <c r="W6" s="42" t="s">
        <v>21</v>
      </c>
      <c r="X6" s="11">
        <v>1183.93</v>
      </c>
      <c r="Y6" s="12">
        <v>360.86</v>
      </c>
      <c r="Z6" s="12">
        <v>13.665833589889768</v>
      </c>
      <c r="AA6" s="12">
        <v>0.42172112755762753</v>
      </c>
      <c r="AB6" s="12">
        <v>113.6285375720215</v>
      </c>
    </row>
    <row r="7" spans="1:28" ht="14.5" x14ac:dyDescent="0.35">
      <c r="A7" s="6" t="s">
        <v>6</v>
      </c>
      <c r="B7" s="42" t="s">
        <v>15</v>
      </c>
      <c r="C7" s="7">
        <v>670.8618422208001</v>
      </c>
      <c r="D7" s="56">
        <v>204.481176</v>
      </c>
      <c r="E7" s="12">
        <v>12.81</v>
      </c>
      <c r="F7" s="13">
        <v>0.82</v>
      </c>
      <c r="G7"/>
      <c r="H7" s="6" t="s">
        <v>6</v>
      </c>
      <c r="I7" s="7">
        <v>685.65439200000003</v>
      </c>
      <c r="J7" s="48">
        <v>208.99</v>
      </c>
      <c r="K7" s="48">
        <v>12.925000000000001</v>
      </c>
      <c r="L7" s="48">
        <v>0.89666047085839595</v>
      </c>
      <c r="M7" s="48">
        <v>7.8899963735799199</v>
      </c>
      <c r="N7" s="48">
        <v>7.88999667359451</v>
      </c>
      <c r="O7" s="48">
        <v>7.88999837634631</v>
      </c>
      <c r="P7" s="48">
        <v>7.8900032267841604</v>
      </c>
      <c r="Q7" s="48">
        <v>7.8900036223416103</v>
      </c>
      <c r="R7"/>
      <c r="S7"/>
      <c r="T7" s="6" t="s">
        <v>6</v>
      </c>
      <c r="U7" s="43" t="s">
        <v>16</v>
      </c>
      <c r="V7" s="42" t="s">
        <v>26</v>
      </c>
      <c r="W7" s="42" t="s">
        <v>21</v>
      </c>
      <c r="X7" s="11">
        <v>1183.93</v>
      </c>
      <c r="Y7" s="12">
        <v>360.86</v>
      </c>
      <c r="Z7" s="12">
        <v>13.172666660899601</v>
      </c>
      <c r="AA7" s="12">
        <v>0.93850772589565323</v>
      </c>
      <c r="AB7" s="12">
        <v>147.15648208726657</v>
      </c>
    </row>
    <row r="8" spans="1:28" ht="14.5" x14ac:dyDescent="0.35">
      <c r="A8" s="6" t="s">
        <v>6</v>
      </c>
      <c r="B8" s="42" t="s">
        <v>15</v>
      </c>
      <c r="C8" s="7">
        <v>670.8618422208001</v>
      </c>
      <c r="D8" s="56">
        <v>204.481176</v>
      </c>
      <c r="E8" s="12">
        <v>12.25</v>
      </c>
      <c r="F8" s="13">
        <v>0.81</v>
      </c>
      <c r="G8"/>
      <c r="H8" s="6"/>
      <c r="I8" s="6"/>
      <c r="J8" s="48"/>
      <c r="K8" s="48"/>
      <c r="L8" s="48"/>
      <c r="M8" s="47"/>
      <c r="N8" s="47"/>
      <c r="O8" s="47"/>
      <c r="P8" s="47"/>
      <c r="Q8" s="47"/>
      <c r="R8"/>
      <c r="S8"/>
      <c r="T8" s="6" t="s">
        <v>6</v>
      </c>
      <c r="U8" s="43" t="s">
        <v>16</v>
      </c>
      <c r="V8" s="11" t="s">
        <v>19</v>
      </c>
      <c r="W8" s="42" t="s">
        <v>21</v>
      </c>
      <c r="X8" s="11">
        <v>1183.93</v>
      </c>
      <c r="Y8" s="12">
        <v>360.86</v>
      </c>
      <c r="Z8" s="12">
        <v>12.834854203994047</v>
      </c>
      <c r="AA8" s="12">
        <v>0.46745140336705815</v>
      </c>
      <c r="AB8" s="12">
        <v>139.05575860493218</v>
      </c>
    </row>
    <row r="9" spans="1:28" ht="14.5" x14ac:dyDescent="0.35">
      <c r="A9" s="6" t="s">
        <v>6</v>
      </c>
      <c r="B9" s="42" t="s">
        <v>15</v>
      </c>
      <c r="C9" s="7">
        <v>670.8618422208001</v>
      </c>
      <c r="D9" s="56">
        <v>204.481176</v>
      </c>
      <c r="E9" s="12">
        <v>11.46</v>
      </c>
      <c r="F9" s="13">
        <v>0.96</v>
      </c>
      <c r="G9"/>
      <c r="H9" s="6" t="s">
        <v>6</v>
      </c>
      <c r="I9" s="7">
        <v>670.85798399999999</v>
      </c>
      <c r="J9" s="48">
        <v>204.48</v>
      </c>
      <c r="K9" s="58">
        <v>11.978750000000002</v>
      </c>
      <c r="L9" s="48">
        <v>1.3448390105457591</v>
      </c>
      <c r="M9" s="48">
        <v>6.68524148129588</v>
      </c>
      <c r="N9" s="48">
        <v>7.1635087006818399</v>
      </c>
      <c r="O9" s="48">
        <v>7.46965546142206</v>
      </c>
      <c r="P9" s="48">
        <v>7.6614274590089702</v>
      </c>
      <c r="Q9" s="48">
        <v>7.7785808816367803</v>
      </c>
      <c r="R9"/>
      <c r="S9"/>
      <c r="T9" s="6" t="s">
        <v>6</v>
      </c>
      <c r="U9" s="43" t="s">
        <v>16</v>
      </c>
      <c r="V9" s="11" t="s">
        <v>19</v>
      </c>
      <c r="W9" s="42" t="s">
        <v>21</v>
      </c>
      <c r="X9" s="11">
        <v>1183.93</v>
      </c>
      <c r="Y9" s="12">
        <v>360.86</v>
      </c>
      <c r="Z9" s="12">
        <v>13.238973154429189</v>
      </c>
      <c r="AA9" s="12">
        <v>1.0942917637158143</v>
      </c>
      <c r="AB9" s="12">
        <v>155.73533550791473</v>
      </c>
    </row>
    <row r="10" spans="1:28" ht="14.5" x14ac:dyDescent="0.35">
      <c r="A10" s="6" t="s">
        <v>6</v>
      </c>
      <c r="B10" s="42" t="s">
        <v>15</v>
      </c>
      <c r="C10" s="7">
        <v>674.81134800000007</v>
      </c>
      <c r="D10" s="56">
        <v>205.685</v>
      </c>
      <c r="E10" s="12">
        <v>13.62</v>
      </c>
      <c r="F10" s="13">
        <v>0.56999999999999995</v>
      </c>
      <c r="G10"/>
      <c r="H10" s="6" t="s">
        <v>6</v>
      </c>
      <c r="I10" s="7">
        <v>675.17198447200008</v>
      </c>
      <c r="J10" s="48">
        <v>205.79492333333334</v>
      </c>
      <c r="K10" s="58">
        <v>11.987499999999999</v>
      </c>
      <c r="L10" s="48">
        <v>1.107639108166282</v>
      </c>
      <c r="M10" s="48">
        <v>6.80926191675933</v>
      </c>
      <c r="N10" s="48">
        <v>7.19292820334356</v>
      </c>
      <c r="O10" s="48">
        <v>7.4624364924947297</v>
      </c>
      <c r="P10" s="48">
        <v>7.6357709019279998</v>
      </c>
      <c r="Q10" s="48">
        <v>7.7438003142719296</v>
      </c>
      <c r="R10"/>
      <c r="S10"/>
      <c r="T10" s="6" t="s">
        <v>6</v>
      </c>
      <c r="U10" s="43" t="s">
        <v>16</v>
      </c>
      <c r="V10" s="11" t="s">
        <v>19</v>
      </c>
      <c r="W10" s="42" t="s">
        <v>21</v>
      </c>
      <c r="X10" s="11">
        <v>1183.93</v>
      </c>
      <c r="Y10" s="12">
        <v>360.86</v>
      </c>
      <c r="Z10" s="12">
        <v>12.212642203238302</v>
      </c>
      <c r="AA10" s="12">
        <v>0.92285465921517451</v>
      </c>
      <c r="AB10" s="12">
        <v>148.14899780859596</v>
      </c>
    </row>
    <row r="11" spans="1:28" ht="14.5" x14ac:dyDescent="0.35">
      <c r="A11" s="6" t="s">
        <v>6</v>
      </c>
      <c r="B11" s="42" t="s">
        <v>15</v>
      </c>
      <c r="C11" s="7">
        <v>674.81134800000007</v>
      </c>
      <c r="D11" s="56">
        <v>205.685</v>
      </c>
      <c r="E11" s="12">
        <v>10.48</v>
      </c>
      <c r="F11" s="13">
        <v>0.62</v>
      </c>
      <c r="G11"/>
      <c r="H11" s="6" t="s">
        <v>6</v>
      </c>
      <c r="I11" s="7">
        <v>677.51503690752008</v>
      </c>
      <c r="J11" s="48">
        <v>206.50909440000001</v>
      </c>
      <c r="K11" s="58">
        <v>11.201999999999998</v>
      </c>
      <c r="L11" s="48">
        <v>1.3664538045612813</v>
      </c>
      <c r="M11" s="48">
        <v>6.1072341237333196</v>
      </c>
      <c r="N11" s="48">
        <v>6.7734621443397796</v>
      </c>
      <c r="O11" s="48">
        <v>7.2314912306366201</v>
      </c>
      <c r="P11" s="48">
        <v>7.4953721044577399</v>
      </c>
      <c r="Q11" s="48">
        <v>7.6484227472202102</v>
      </c>
      <c r="R11"/>
      <c r="S11"/>
      <c r="T11" s="6" t="s">
        <v>6</v>
      </c>
      <c r="U11" s="43" t="s">
        <v>16</v>
      </c>
      <c r="V11" s="11" t="s">
        <v>19</v>
      </c>
      <c r="W11" s="42" t="s">
        <v>21</v>
      </c>
      <c r="X11" s="11">
        <v>1183.93</v>
      </c>
      <c r="Y11" s="12">
        <v>360.86</v>
      </c>
      <c r="Z11" s="12">
        <v>13.601246071899515</v>
      </c>
      <c r="AA11" s="12">
        <v>0.76860979678145924</v>
      </c>
      <c r="AB11" s="12">
        <v>136.0976611505483</v>
      </c>
    </row>
    <row r="12" spans="1:28" ht="14.5" x14ac:dyDescent="0.35">
      <c r="A12" s="6" t="s">
        <v>6</v>
      </c>
      <c r="B12" s="42" t="s">
        <v>15</v>
      </c>
      <c r="C12" s="7">
        <v>674.81134800000007</v>
      </c>
      <c r="D12" s="56">
        <v>205.685</v>
      </c>
      <c r="E12" s="12">
        <v>12.11</v>
      </c>
      <c r="F12" s="13">
        <v>0.74</v>
      </c>
      <c r="G12"/>
      <c r="H12" s="6" t="s">
        <v>6</v>
      </c>
      <c r="I12" s="7">
        <v>680.79928918399992</v>
      </c>
      <c r="J12" s="48">
        <v>207.51014666666663</v>
      </c>
      <c r="K12" s="58">
        <v>10.677777777777779</v>
      </c>
      <c r="L12" s="48">
        <v>1.2791263415045646</v>
      </c>
      <c r="M12" s="48">
        <v>5.7432490807592602</v>
      </c>
      <c r="N12" s="48">
        <v>6.4845903770044204</v>
      </c>
      <c r="O12" s="48">
        <v>7.0271935897102802</v>
      </c>
      <c r="P12" s="48">
        <v>7.3471343844983696</v>
      </c>
      <c r="Q12" s="48">
        <v>7.5256240526718301</v>
      </c>
      <c r="R12"/>
      <c r="S12"/>
      <c r="T12" s="6" t="s">
        <v>6</v>
      </c>
      <c r="U12" s="43" t="s">
        <v>16</v>
      </c>
      <c r="V12" s="11" t="s">
        <v>19</v>
      </c>
      <c r="W12" s="42" t="s">
        <v>21</v>
      </c>
      <c r="X12" s="11">
        <v>1183.93</v>
      </c>
      <c r="Y12" s="12">
        <v>360.86</v>
      </c>
      <c r="Z12" s="12">
        <v>10.123032991038727</v>
      </c>
      <c r="AA12" s="12">
        <v>0.66710795233365083</v>
      </c>
      <c r="AB12" s="12">
        <v>138.70337435416189</v>
      </c>
    </row>
    <row r="13" spans="1:28" ht="14.5" x14ac:dyDescent="0.35">
      <c r="A13" s="6" t="s">
        <v>6</v>
      </c>
      <c r="B13" s="42" t="s">
        <v>15</v>
      </c>
      <c r="C13" s="7">
        <v>674.81134800000007</v>
      </c>
      <c r="D13" s="56">
        <v>205.685</v>
      </c>
      <c r="E13" s="12">
        <v>10.9</v>
      </c>
      <c r="F13" s="13">
        <v>0.74</v>
      </c>
      <c r="G13"/>
      <c r="H13" s="6" t="s">
        <v>6</v>
      </c>
      <c r="I13" s="7">
        <v>685.65439200000003</v>
      </c>
      <c r="J13" s="48">
        <v>208.99</v>
      </c>
      <c r="K13" s="58">
        <v>12.925000000000001</v>
      </c>
      <c r="L13" s="48">
        <v>0.89666047085839595</v>
      </c>
      <c r="M13" s="48">
        <v>7.6699955992608198</v>
      </c>
      <c r="N13" s="48">
        <v>7.6699983889121404</v>
      </c>
      <c r="O13" s="48">
        <v>7.66999995662903</v>
      </c>
      <c r="P13" s="48">
        <v>7.6700003630103</v>
      </c>
      <c r="Q13" s="48">
        <v>7.6700042165367401</v>
      </c>
      <c r="R13"/>
      <c r="S13"/>
      <c r="T13" s="6" t="s">
        <v>6</v>
      </c>
      <c r="U13" s="43" t="s">
        <v>16</v>
      </c>
      <c r="V13" s="11" t="s">
        <v>19</v>
      </c>
      <c r="W13" s="42" t="s">
        <v>21</v>
      </c>
      <c r="X13" s="11">
        <v>1183.93</v>
      </c>
      <c r="Y13" s="12">
        <v>360.86</v>
      </c>
      <c r="Z13" s="12">
        <v>13.512780786907468</v>
      </c>
      <c r="AA13" s="12">
        <v>1.5601271378148278</v>
      </c>
      <c r="AB13" s="12">
        <v>144.31051064761112</v>
      </c>
    </row>
    <row r="14" spans="1:28" ht="14.5" x14ac:dyDescent="0.35">
      <c r="A14" s="6" t="s">
        <v>6</v>
      </c>
      <c r="B14" s="42" t="s">
        <v>15</v>
      </c>
      <c r="C14" s="7">
        <v>674.81134800000007</v>
      </c>
      <c r="D14" s="56">
        <v>205.685</v>
      </c>
      <c r="E14" s="12">
        <v>11.61</v>
      </c>
      <c r="F14" s="13">
        <v>0.63</v>
      </c>
      <c r="G14"/>
      <c r="H14"/>
      <c r="I14"/>
      <c r="J14"/>
      <c r="K14"/>
      <c r="L14"/>
      <c r="M14"/>
      <c r="N14"/>
      <c r="O14"/>
      <c r="P14"/>
      <c r="Q14"/>
      <c r="R14"/>
      <c r="S14"/>
      <c r="T14" s="6" t="s">
        <v>6</v>
      </c>
      <c r="U14" s="43" t="s">
        <v>16</v>
      </c>
      <c r="V14" s="11" t="s">
        <v>19</v>
      </c>
      <c r="W14" s="42" t="s">
        <v>21</v>
      </c>
      <c r="X14" s="11">
        <v>1183.93</v>
      </c>
      <c r="Y14" s="12">
        <v>360.86</v>
      </c>
      <c r="Z14" s="12">
        <v>15.169954279501813</v>
      </c>
      <c r="AA14" s="12">
        <v>0.85856162033389138</v>
      </c>
      <c r="AB14" s="12">
        <v>96.936577462184616</v>
      </c>
    </row>
    <row r="15" spans="1:28" ht="14.5" x14ac:dyDescent="0.35">
      <c r="A15" s="6" t="s">
        <v>6</v>
      </c>
      <c r="B15" s="42" t="s">
        <v>15</v>
      </c>
      <c r="C15" s="7">
        <v>674.81134800000007</v>
      </c>
      <c r="D15" s="56">
        <v>205.685</v>
      </c>
      <c r="E15" s="12">
        <v>13.95</v>
      </c>
      <c r="F15" s="13">
        <v>0.61</v>
      </c>
      <c r="G15"/>
      <c r="H15"/>
      <c r="I15"/>
      <c r="J15"/>
      <c r="K15"/>
      <c r="L15"/>
      <c r="M15"/>
      <c r="N15"/>
      <c r="O15"/>
      <c r="P15"/>
      <c r="Q15"/>
      <c r="R15"/>
      <c r="S15"/>
      <c r="T15" s="6" t="s">
        <v>6</v>
      </c>
      <c r="U15" s="43" t="s">
        <v>16</v>
      </c>
      <c r="V15" s="11" t="s">
        <v>19</v>
      </c>
      <c r="W15" s="42" t="s">
        <v>21</v>
      </c>
      <c r="X15" s="11">
        <v>1183.93</v>
      </c>
      <c r="Y15" s="12">
        <v>360.86</v>
      </c>
      <c r="Z15" s="12">
        <v>15.469000018263683</v>
      </c>
      <c r="AA15" s="12">
        <v>0.62241889861331379</v>
      </c>
      <c r="AB15" s="12">
        <v>106.47277841380075</v>
      </c>
    </row>
    <row r="16" spans="1:28" ht="14.5" x14ac:dyDescent="0.35">
      <c r="A16" s="6" t="s">
        <v>6</v>
      </c>
      <c r="B16" s="42" t="s">
        <v>15</v>
      </c>
      <c r="C16" s="7">
        <v>674.81134800000007</v>
      </c>
      <c r="D16" s="56">
        <v>205.685</v>
      </c>
      <c r="E16" s="12">
        <v>12.01</v>
      </c>
      <c r="F16" s="13">
        <v>0.92</v>
      </c>
      <c r="G16"/>
      <c r="H16"/>
      <c r="I16"/>
      <c r="J16"/>
      <c r="K16"/>
      <c r="L16"/>
      <c r="M16"/>
      <c r="N16"/>
      <c r="O16"/>
      <c r="P16"/>
      <c r="Q16"/>
      <c r="R16"/>
      <c r="S16"/>
      <c r="T16" s="6" t="s">
        <v>6</v>
      </c>
      <c r="U16" s="43" t="s">
        <v>16</v>
      </c>
      <c r="V16" s="11" t="s">
        <v>19</v>
      </c>
      <c r="W16" s="42" t="s">
        <v>21</v>
      </c>
      <c r="X16" s="11">
        <v>1183.93</v>
      </c>
      <c r="Y16" s="12">
        <v>360.86</v>
      </c>
      <c r="Z16" s="12">
        <v>13.810595948236497</v>
      </c>
      <c r="AA16" s="12">
        <v>0.44889457875813843</v>
      </c>
      <c r="AB16" s="12">
        <v>111.39306897436121</v>
      </c>
    </row>
    <row r="17" spans="1:28" ht="14.5" x14ac:dyDescent="0.35">
      <c r="A17" s="6" t="s">
        <v>6</v>
      </c>
      <c r="B17" s="42" t="s">
        <v>15</v>
      </c>
      <c r="C17" s="7">
        <v>674.81134800000007</v>
      </c>
      <c r="D17" s="56">
        <v>205.685</v>
      </c>
      <c r="E17" s="12">
        <v>13.38</v>
      </c>
      <c r="F17" s="13">
        <v>1.01</v>
      </c>
      <c r="G17"/>
      <c r="H17"/>
      <c r="I17"/>
      <c r="J17"/>
      <c r="K17"/>
      <c r="L17"/>
      <c r="M17"/>
      <c r="N17"/>
      <c r="O17"/>
      <c r="P17"/>
      <c r="Q17"/>
      <c r="R17"/>
      <c r="S17"/>
      <c r="T17" s="6" t="s">
        <v>6</v>
      </c>
      <c r="U17" s="43" t="s">
        <v>16</v>
      </c>
      <c r="V17" s="11" t="s">
        <v>19</v>
      </c>
      <c r="W17" s="42" t="s">
        <v>21</v>
      </c>
      <c r="X17" s="11">
        <v>1183.93</v>
      </c>
      <c r="Y17" s="12">
        <v>360.86</v>
      </c>
      <c r="Z17" s="12">
        <v>14.889688918106918</v>
      </c>
      <c r="AA17" s="12">
        <v>0.48650018706561993</v>
      </c>
      <c r="AB17" s="12">
        <v>103.37687284957414</v>
      </c>
    </row>
    <row r="18" spans="1:28" ht="14.5" x14ac:dyDescent="0.35">
      <c r="A18" s="6" t="s">
        <v>6</v>
      </c>
      <c r="B18" s="42" t="s">
        <v>15</v>
      </c>
      <c r="C18" s="7">
        <v>675.91041600000005</v>
      </c>
      <c r="D18" s="56">
        <v>205.99907999999999</v>
      </c>
      <c r="E18" s="12">
        <v>12.85</v>
      </c>
      <c r="F18" s="13">
        <v>0.9</v>
      </c>
      <c r="G18"/>
      <c r="H18"/>
      <c r="I18"/>
      <c r="J18"/>
      <c r="K18"/>
      <c r="L18"/>
      <c r="M18"/>
      <c r="N18"/>
      <c r="O18"/>
      <c r="P18"/>
      <c r="Q18"/>
      <c r="R18"/>
      <c r="S18"/>
      <c r="T18" s="6" t="s">
        <v>6</v>
      </c>
      <c r="U18" s="43" t="s">
        <v>16</v>
      </c>
      <c r="V18" s="11" t="s">
        <v>19</v>
      </c>
      <c r="W18" s="42" t="s">
        <v>21</v>
      </c>
      <c r="X18" s="11">
        <v>1183.93</v>
      </c>
      <c r="Y18" s="12">
        <v>360.86</v>
      </c>
      <c r="Z18" s="12">
        <v>12.213100778468645</v>
      </c>
      <c r="AA18" s="12">
        <v>0.58318805238072913</v>
      </c>
      <c r="AB18" s="12">
        <v>129.64223285898186</v>
      </c>
    </row>
    <row r="19" spans="1:28" ht="14.5" x14ac:dyDescent="0.35">
      <c r="A19" s="6" t="s">
        <v>6</v>
      </c>
      <c r="B19" s="42" t="s">
        <v>15</v>
      </c>
      <c r="C19" s="7">
        <v>675.91041600000005</v>
      </c>
      <c r="D19" s="56">
        <v>206.02</v>
      </c>
      <c r="E19" s="12">
        <v>10.32</v>
      </c>
      <c r="F19" s="13">
        <v>0.75</v>
      </c>
      <c r="G19"/>
      <c r="H19"/>
      <c r="I19"/>
      <c r="J19"/>
      <c r="K19"/>
      <c r="L19"/>
      <c r="M19"/>
      <c r="N19"/>
      <c r="O19"/>
      <c r="P19"/>
      <c r="Q19"/>
      <c r="R19"/>
      <c r="S19"/>
      <c r="T19" s="6" t="s">
        <v>6</v>
      </c>
      <c r="U19" s="43" t="s">
        <v>16</v>
      </c>
      <c r="V19" s="11" t="s">
        <v>19</v>
      </c>
      <c r="W19" s="42" t="s">
        <v>21</v>
      </c>
      <c r="X19" s="11">
        <v>1183.93</v>
      </c>
      <c r="Y19" s="12">
        <v>360.86</v>
      </c>
      <c r="Z19" s="12">
        <v>13.697635402370235</v>
      </c>
      <c r="AA19" s="12">
        <v>0.67658276384992799</v>
      </c>
      <c r="AB19" s="12">
        <v>125.30729055878908</v>
      </c>
    </row>
    <row r="20" spans="1:28" ht="14.5" x14ac:dyDescent="0.35">
      <c r="A20" s="6" t="s">
        <v>6</v>
      </c>
      <c r="B20" s="42" t="s">
        <v>15</v>
      </c>
      <c r="C20" s="7">
        <v>675.91041600000005</v>
      </c>
      <c r="D20" s="56">
        <v>206.02</v>
      </c>
      <c r="E20" s="12">
        <v>12.61</v>
      </c>
      <c r="F20" s="13">
        <v>0.55000000000000004</v>
      </c>
      <c r="G20"/>
      <c r="H20"/>
      <c r="I20"/>
      <c r="J20"/>
      <c r="K20"/>
      <c r="L20"/>
      <c r="M20"/>
      <c r="N20"/>
      <c r="O20"/>
      <c r="P20"/>
      <c r="Q20"/>
      <c r="R20"/>
      <c r="S20"/>
      <c r="T20" s="6" t="s">
        <v>6</v>
      </c>
      <c r="U20" s="43" t="s">
        <v>16</v>
      </c>
      <c r="V20" s="11" t="s">
        <v>25</v>
      </c>
      <c r="W20" s="11" t="s">
        <v>20</v>
      </c>
      <c r="X20" s="11">
        <v>1158.48</v>
      </c>
      <c r="Y20" s="12">
        <v>353.1</v>
      </c>
      <c r="Z20" s="12">
        <v>12.963593279015065</v>
      </c>
      <c r="AA20" s="12">
        <v>0.63206766625773236</v>
      </c>
      <c r="AB20" s="12">
        <v>123.96073720938847</v>
      </c>
    </row>
    <row r="21" spans="1:28" ht="14.5" x14ac:dyDescent="0.35">
      <c r="A21" s="6" t="s">
        <v>6</v>
      </c>
      <c r="B21" s="42" t="s">
        <v>15</v>
      </c>
      <c r="C21" s="7">
        <v>675.841781664</v>
      </c>
      <c r="D21" s="56">
        <v>206.02</v>
      </c>
      <c r="E21" s="12">
        <v>10.01</v>
      </c>
      <c r="F21" s="13">
        <v>0.45</v>
      </c>
      <c r="G21"/>
      <c r="H21"/>
      <c r="I21"/>
      <c r="J21"/>
      <c r="K21"/>
      <c r="L21"/>
      <c r="M21"/>
      <c r="N21"/>
      <c r="O21"/>
      <c r="P21"/>
      <c r="Q21"/>
      <c r="R21"/>
      <c r="S21"/>
      <c r="T21" s="6" t="s">
        <v>6</v>
      </c>
      <c r="U21" s="43" t="s">
        <v>16</v>
      </c>
      <c r="V21" s="11" t="s">
        <v>25</v>
      </c>
      <c r="W21" s="11" t="s">
        <v>20</v>
      </c>
      <c r="X21" s="11">
        <v>1158.48</v>
      </c>
      <c r="Y21" s="12">
        <v>353.1</v>
      </c>
      <c r="Z21" s="12">
        <v>11.626734741400028</v>
      </c>
      <c r="AA21" s="12">
        <v>0.819180574898975</v>
      </c>
      <c r="AB21" s="12">
        <v>94.567528266257142</v>
      </c>
    </row>
    <row r="22" spans="1:28" ht="14.5" x14ac:dyDescent="0.35">
      <c r="A22" s="6" t="s">
        <v>6</v>
      </c>
      <c r="B22" s="42" t="s">
        <v>15</v>
      </c>
      <c r="C22" s="7">
        <v>677.43676226880007</v>
      </c>
      <c r="D22" s="56">
        <v>206.48523600000001</v>
      </c>
      <c r="E22" s="12">
        <v>10.11</v>
      </c>
      <c r="F22" s="13">
        <v>0.76</v>
      </c>
      <c r="G22"/>
      <c r="H22"/>
      <c r="I22"/>
      <c r="J22"/>
      <c r="K22"/>
      <c r="L22"/>
      <c r="M22"/>
      <c r="N22"/>
      <c r="O22"/>
      <c r="P22"/>
      <c r="Q22"/>
      <c r="R22"/>
      <c r="S22"/>
      <c r="T22" s="6" t="s">
        <v>6</v>
      </c>
      <c r="U22" s="43" t="s">
        <v>16</v>
      </c>
      <c r="V22" s="11" t="s">
        <v>25</v>
      </c>
      <c r="W22" s="11" t="s">
        <v>20</v>
      </c>
      <c r="X22" s="11">
        <v>1158.48</v>
      </c>
      <c r="Y22" s="12">
        <v>353.1</v>
      </c>
      <c r="Z22" s="12">
        <v>12.105205321721904</v>
      </c>
      <c r="AA22" s="12">
        <v>0.89691075772122619</v>
      </c>
      <c r="AB22" s="12">
        <v>134.81671900765684</v>
      </c>
    </row>
    <row r="23" spans="1:28" ht="14.5" x14ac:dyDescent="0.35">
      <c r="A23" s="6" t="s">
        <v>6</v>
      </c>
      <c r="B23" s="42" t="s">
        <v>15</v>
      </c>
      <c r="C23" s="7">
        <v>677.43676226880007</v>
      </c>
      <c r="D23" s="56">
        <v>206.48523600000001</v>
      </c>
      <c r="E23" s="12">
        <v>13.2</v>
      </c>
      <c r="F23" s="13">
        <v>0.83</v>
      </c>
      <c r="G23"/>
      <c r="H23"/>
      <c r="I23"/>
      <c r="J23"/>
      <c r="K23"/>
      <c r="L23"/>
      <c r="M23"/>
      <c r="N23"/>
      <c r="O23"/>
      <c r="P23"/>
      <c r="Q23"/>
      <c r="R23"/>
      <c r="S23"/>
      <c r="T23" s="6" t="s">
        <v>6</v>
      </c>
      <c r="U23" s="43" t="s">
        <v>16</v>
      </c>
      <c r="V23" s="11" t="s">
        <v>25</v>
      </c>
      <c r="W23" s="11" t="s">
        <v>20</v>
      </c>
      <c r="X23" s="11">
        <v>1158.48</v>
      </c>
      <c r="Y23" s="12">
        <v>353.1</v>
      </c>
      <c r="Z23" s="12">
        <v>11.026985964249601</v>
      </c>
      <c r="AA23" s="12">
        <v>0.81444177320621503</v>
      </c>
      <c r="AB23" s="12">
        <v>153.61316700717256</v>
      </c>
    </row>
    <row r="24" spans="1:28" ht="14.5" x14ac:dyDescent="0.35">
      <c r="A24" s="6" t="s">
        <v>6</v>
      </c>
      <c r="B24" s="42" t="s">
        <v>15</v>
      </c>
      <c r="C24" s="7">
        <v>677.56722000000002</v>
      </c>
      <c r="D24" s="56">
        <v>206.52500000000001</v>
      </c>
      <c r="E24" s="12">
        <v>11.57</v>
      </c>
      <c r="F24" s="13">
        <v>0.59</v>
      </c>
      <c r="G24"/>
      <c r="H24"/>
      <c r="I24"/>
      <c r="J24"/>
      <c r="K24"/>
      <c r="L24"/>
      <c r="M24"/>
      <c r="N24"/>
      <c r="O24"/>
      <c r="P24"/>
      <c r="Q24"/>
      <c r="R24"/>
      <c r="S24"/>
      <c r="T24" s="6" t="s">
        <v>6</v>
      </c>
      <c r="U24" s="43" t="s">
        <v>16</v>
      </c>
      <c r="V24" s="11" t="s">
        <v>19</v>
      </c>
      <c r="W24" s="11" t="s">
        <v>20</v>
      </c>
      <c r="X24" s="11">
        <v>1158.48</v>
      </c>
      <c r="Y24" s="12">
        <v>353.1</v>
      </c>
      <c r="Z24" s="12">
        <v>12.654172796647584</v>
      </c>
      <c r="AA24" s="12">
        <v>0.93665344277778628</v>
      </c>
      <c r="AB24" s="12">
        <v>115.29962444901743</v>
      </c>
    </row>
    <row r="25" spans="1:28" ht="14.5" x14ac:dyDescent="0.35">
      <c r="A25" s="6" t="s">
        <v>6</v>
      </c>
      <c r="B25" s="42" t="s">
        <v>15</v>
      </c>
      <c r="C25" s="7">
        <v>677.56722000000002</v>
      </c>
      <c r="D25" s="56">
        <v>206.52500000000001</v>
      </c>
      <c r="E25" s="12">
        <v>10.36</v>
      </c>
      <c r="F25" s="13">
        <v>0.76</v>
      </c>
      <c r="G25"/>
      <c r="H25"/>
      <c r="I25"/>
      <c r="J25"/>
      <c r="K25"/>
      <c r="L25"/>
      <c r="M25"/>
      <c r="N25"/>
      <c r="O25"/>
      <c r="P25"/>
      <c r="Q25"/>
      <c r="R25"/>
      <c r="S25"/>
      <c r="T25" s="6" t="s">
        <v>6</v>
      </c>
      <c r="U25" s="43" t="s">
        <v>16</v>
      </c>
      <c r="V25" s="11" t="s">
        <v>19</v>
      </c>
      <c r="W25" s="11" t="s">
        <v>20</v>
      </c>
      <c r="X25" s="11">
        <v>1158.48</v>
      </c>
      <c r="Y25" s="12">
        <v>353.1</v>
      </c>
      <c r="Z25" s="12">
        <v>12.816826891834518</v>
      </c>
      <c r="AA25" s="12">
        <v>0.81328624347542655</v>
      </c>
      <c r="AB25" s="12">
        <v>94.994577741592693</v>
      </c>
    </row>
    <row r="26" spans="1:28" ht="14.5" x14ac:dyDescent="0.35">
      <c r="A26" s="6" t="s">
        <v>6</v>
      </c>
      <c r="B26" s="42" t="s">
        <v>15</v>
      </c>
      <c r="C26" s="7">
        <v>677.56722000000002</v>
      </c>
      <c r="D26" s="56">
        <v>206.52500000000001</v>
      </c>
      <c r="E26" s="12">
        <v>10.77</v>
      </c>
      <c r="F26" s="13">
        <v>0.94</v>
      </c>
      <c r="G26"/>
      <c r="H26"/>
      <c r="I26"/>
      <c r="J26"/>
      <c r="K26"/>
      <c r="L26"/>
      <c r="M26"/>
      <c r="N26"/>
      <c r="O26"/>
      <c r="P26"/>
      <c r="Q26"/>
      <c r="R26"/>
      <c r="S26"/>
      <c r="T26" s="6" t="s">
        <v>6</v>
      </c>
      <c r="U26" s="43" t="s">
        <v>16</v>
      </c>
      <c r="V26" s="11" t="s">
        <v>19</v>
      </c>
      <c r="W26" s="11" t="s">
        <v>20</v>
      </c>
      <c r="X26" s="11">
        <v>1158.48</v>
      </c>
      <c r="Y26" s="12">
        <v>353.1</v>
      </c>
      <c r="Z26" s="12">
        <v>12.205450593929745</v>
      </c>
      <c r="AA26" s="12">
        <v>0.58045272980594587</v>
      </c>
      <c r="AB26" s="12">
        <v>116.71903612012316</v>
      </c>
    </row>
    <row r="27" spans="1:28" ht="14.5" x14ac:dyDescent="0.35">
      <c r="A27" s="6" t="s">
        <v>6</v>
      </c>
      <c r="B27" s="42" t="s">
        <v>15</v>
      </c>
      <c r="C27" s="7">
        <v>680.76672177600005</v>
      </c>
      <c r="D27" s="56">
        <v>207.50022000000001</v>
      </c>
      <c r="E27" s="12">
        <v>10.119999999999999</v>
      </c>
      <c r="F27" s="13">
        <v>1.02</v>
      </c>
      <c r="G27"/>
      <c r="H27"/>
      <c r="I27"/>
      <c r="J27"/>
      <c r="K27"/>
      <c r="L27"/>
      <c r="M27"/>
      <c r="N27"/>
      <c r="O27"/>
      <c r="P27"/>
      <c r="Q27"/>
      <c r="R27"/>
      <c r="S27"/>
      <c r="T27" s="6" t="s">
        <v>6</v>
      </c>
      <c r="U27" s="43" t="s">
        <v>16</v>
      </c>
      <c r="V27" s="11" t="s">
        <v>19</v>
      </c>
      <c r="W27" s="11" t="s">
        <v>20</v>
      </c>
      <c r="X27" s="11">
        <v>1158.48</v>
      </c>
      <c r="Y27" s="12">
        <v>353.1</v>
      </c>
      <c r="Z27" s="12">
        <v>15.133026895885923</v>
      </c>
      <c r="AA27" s="12">
        <v>0.85572710884204339</v>
      </c>
      <c r="AB27" s="12">
        <v>106.23806159659082</v>
      </c>
    </row>
    <row r="28" spans="1:28" ht="14.5" x14ac:dyDescent="0.35">
      <c r="A28" s="6" t="s">
        <v>6</v>
      </c>
      <c r="B28" s="42" t="s">
        <v>15</v>
      </c>
      <c r="C28" s="7">
        <v>680.76672177600005</v>
      </c>
      <c r="D28" s="56">
        <v>207.50022000000001</v>
      </c>
      <c r="E28" s="12">
        <v>10.51</v>
      </c>
      <c r="F28" s="13">
        <v>1</v>
      </c>
      <c r="G28"/>
      <c r="H28"/>
      <c r="I28"/>
      <c r="J28"/>
      <c r="K28"/>
      <c r="L28"/>
      <c r="M28"/>
      <c r="N28"/>
      <c r="O28"/>
      <c r="P28"/>
      <c r="Q28"/>
      <c r="R28"/>
      <c r="S28"/>
      <c r="T28" s="6" t="s">
        <v>6</v>
      </c>
      <c r="U28" s="43" t="s">
        <v>16</v>
      </c>
      <c r="V28" s="11" t="s">
        <v>19</v>
      </c>
      <c r="W28" s="11" t="s">
        <v>20</v>
      </c>
      <c r="X28" s="11">
        <v>1158.48</v>
      </c>
      <c r="Y28" s="12">
        <v>353.1</v>
      </c>
      <c r="Z28" s="12">
        <v>13.627016322143259</v>
      </c>
      <c r="AA28" s="12">
        <v>0.53359215453283593</v>
      </c>
      <c r="AB28" s="12">
        <v>122.36457692177366</v>
      </c>
    </row>
    <row r="29" spans="1:28" ht="14.5" x14ac:dyDescent="0.35">
      <c r="A29" s="6" t="s">
        <v>6</v>
      </c>
      <c r="B29" s="42" t="s">
        <v>15</v>
      </c>
      <c r="C29" s="7">
        <v>680.76672177600005</v>
      </c>
      <c r="D29" s="56">
        <v>207.50022000000001</v>
      </c>
      <c r="E29" s="12">
        <v>9.44</v>
      </c>
      <c r="F29" s="13">
        <v>0.6</v>
      </c>
      <c r="G29"/>
      <c r="H29"/>
      <c r="I29"/>
      <c r="J29"/>
      <c r="K29"/>
      <c r="L29"/>
      <c r="M29"/>
      <c r="N29"/>
      <c r="O29"/>
      <c r="P29"/>
      <c r="Q29"/>
      <c r="R29"/>
      <c r="S29"/>
      <c r="T29" s="6" t="s">
        <v>6</v>
      </c>
      <c r="U29" s="43" t="s">
        <v>16</v>
      </c>
      <c r="V29" s="11" t="s">
        <v>19</v>
      </c>
      <c r="W29" s="11" t="s">
        <v>20</v>
      </c>
      <c r="X29" s="11">
        <v>1158.48</v>
      </c>
      <c r="Y29" s="12">
        <v>353.1</v>
      </c>
      <c r="Z29" s="12">
        <v>11.520145955661024</v>
      </c>
      <c r="AA29" s="12">
        <v>0.54885017379639545</v>
      </c>
      <c r="AB29" s="12">
        <v>117.59292757887479</v>
      </c>
    </row>
    <row r="30" spans="1:28" ht="14.5" x14ac:dyDescent="0.35">
      <c r="A30" s="6" t="s">
        <v>6</v>
      </c>
      <c r="B30" s="42" t="s">
        <v>15</v>
      </c>
      <c r="C30" s="7">
        <v>680.76672177600005</v>
      </c>
      <c r="D30" s="56">
        <v>207.50022000000001</v>
      </c>
      <c r="E30" s="12">
        <v>10.66</v>
      </c>
      <c r="F30" s="13">
        <v>0.63</v>
      </c>
      <c r="G30"/>
      <c r="H30"/>
      <c r="I30"/>
      <c r="J30"/>
      <c r="K30"/>
      <c r="L30"/>
      <c r="M30"/>
      <c r="N30"/>
      <c r="O30"/>
      <c r="P30"/>
      <c r="Q30"/>
      <c r="R30"/>
      <c r="S30"/>
      <c r="T30" s="6" t="s">
        <v>6</v>
      </c>
      <c r="U30" s="43" t="s">
        <v>16</v>
      </c>
      <c r="V30" s="11" t="s">
        <v>19</v>
      </c>
      <c r="W30" s="11" t="s">
        <v>20</v>
      </c>
      <c r="X30" s="11">
        <v>1158.48</v>
      </c>
      <c r="Y30" s="12">
        <v>353.1</v>
      </c>
      <c r="Z30" s="12">
        <v>14.066229972449978</v>
      </c>
      <c r="AA30" s="12">
        <v>0.56328222228267544</v>
      </c>
      <c r="AB30" s="12">
        <v>111.84839848690471</v>
      </c>
    </row>
    <row r="31" spans="1:28" ht="14.5" x14ac:dyDescent="0.35">
      <c r="A31" s="6" t="s">
        <v>6</v>
      </c>
      <c r="B31" s="42" t="s">
        <v>15</v>
      </c>
      <c r="C31" s="7">
        <v>680.76672177600005</v>
      </c>
      <c r="D31" s="56">
        <v>207.50022000000001</v>
      </c>
      <c r="E31" s="12">
        <v>9.89</v>
      </c>
      <c r="F31" s="13">
        <v>0.55000000000000004</v>
      </c>
      <c r="G31"/>
      <c r="H31"/>
      <c r="I31"/>
      <c r="J31"/>
      <c r="K31"/>
      <c r="L31"/>
      <c r="M31"/>
      <c r="N31"/>
      <c r="O31"/>
      <c r="P31"/>
      <c r="Q31"/>
      <c r="R31"/>
      <c r="S31"/>
      <c r="T31" s="6" t="s">
        <v>6</v>
      </c>
      <c r="U31" s="43" t="s">
        <v>16</v>
      </c>
      <c r="V31" s="11" t="s">
        <v>19</v>
      </c>
      <c r="W31" s="11" t="s">
        <v>20</v>
      </c>
      <c r="X31" s="11">
        <v>1158.48</v>
      </c>
      <c r="Y31" s="12">
        <v>353.1</v>
      </c>
      <c r="Z31" s="12">
        <v>12.900501473832447</v>
      </c>
      <c r="AA31" s="12">
        <v>0.53972738513487029</v>
      </c>
      <c r="AB31" s="12">
        <v>105.69284144346062</v>
      </c>
    </row>
    <row r="32" spans="1:28" ht="14.5" x14ac:dyDescent="0.35">
      <c r="A32" s="6" t="s">
        <v>6</v>
      </c>
      <c r="B32" s="42" t="s">
        <v>15</v>
      </c>
      <c r="C32" s="7">
        <v>680.76672177600005</v>
      </c>
      <c r="D32" s="56">
        <v>207.50022000000001</v>
      </c>
      <c r="E32" s="12">
        <v>13.13</v>
      </c>
      <c r="F32" s="13">
        <v>0.5</v>
      </c>
      <c r="G32"/>
      <c r="H32"/>
      <c r="I32"/>
      <c r="J32"/>
      <c r="K32"/>
      <c r="L32"/>
      <c r="M32"/>
      <c r="N32"/>
      <c r="O32"/>
      <c r="P32"/>
      <c r="Q32"/>
      <c r="R32"/>
      <c r="S32"/>
      <c r="T32" s="6" t="s">
        <v>6</v>
      </c>
      <c r="U32" s="43" t="s">
        <v>16</v>
      </c>
      <c r="V32" s="11" t="s">
        <v>19</v>
      </c>
      <c r="W32" s="11" t="s">
        <v>20</v>
      </c>
      <c r="X32" s="11">
        <v>1158.48</v>
      </c>
      <c r="Y32" s="12">
        <v>353.1</v>
      </c>
      <c r="Z32" s="12">
        <v>13.138283875269599</v>
      </c>
      <c r="AA32" s="12">
        <v>0.74319830758530159</v>
      </c>
      <c r="AB32" s="12">
        <v>98.447039388243496</v>
      </c>
    </row>
    <row r="33" spans="1:28" ht="14.5" x14ac:dyDescent="0.35">
      <c r="A33" s="6" t="s">
        <v>6</v>
      </c>
      <c r="B33" s="42" t="s">
        <v>15</v>
      </c>
      <c r="C33" s="7">
        <v>680.86442399999999</v>
      </c>
      <c r="D33" s="56">
        <v>207.53</v>
      </c>
      <c r="E33" s="12">
        <v>9.94</v>
      </c>
      <c r="F33" s="13">
        <v>0.69</v>
      </c>
      <c r="G33"/>
      <c r="H33"/>
      <c r="I33"/>
      <c r="J33"/>
      <c r="K33"/>
      <c r="L33"/>
      <c r="M33"/>
      <c r="N33"/>
      <c r="O33"/>
      <c r="P33"/>
      <c r="Q33"/>
      <c r="R33"/>
      <c r="S33"/>
      <c r="T33" s="6" t="s">
        <v>6</v>
      </c>
      <c r="U33" s="43" t="s">
        <v>16</v>
      </c>
      <c r="V33" s="11" t="s">
        <v>19</v>
      </c>
      <c r="W33" s="11" t="s">
        <v>20</v>
      </c>
      <c r="X33" s="11">
        <v>1158.48</v>
      </c>
      <c r="Y33" s="12">
        <v>353.1</v>
      </c>
      <c r="Z33" s="12">
        <v>12.940636895745508</v>
      </c>
      <c r="AA33" s="12">
        <v>0.54013193961373707</v>
      </c>
      <c r="AB33" s="12">
        <v>106.25822854821401</v>
      </c>
    </row>
    <row r="34" spans="1:28" ht="14.5" x14ac:dyDescent="0.35">
      <c r="A34" s="6" t="s">
        <v>6</v>
      </c>
      <c r="B34" s="42" t="s">
        <v>15</v>
      </c>
      <c r="C34" s="7">
        <v>680.86442399999999</v>
      </c>
      <c r="D34" s="56">
        <v>207.53</v>
      </c>
      <c r="E34" s="12">
        <v>13.28</v>
      </c>
      <c r="F34" s="13">
        <v>0.87</v>
      </c>
      <c r="G34"/>
      <c r="H34"/>
      <c r="I34"/>
      <c r="J34"/>
      <c r="K34"/>
      <c r="L34"/>
      <c r="M34"/>
      <c r="N34"/>
      <c r="O34"/>
      <c r="P34"/>
      <c r="Q34"/>
      <c r="R34"/>
      <c r="S34"/>
      <c r="T34" s="6" t="s">
        <v>6</v>
      </c>
      <c r="U34" s="43" t="s">
        <v>16</v>
      </c>
      <c r="V34" s="11" t="s">
        <v>19</v>
      </c>
      <c r="W34" s="11" t="s">
        <v>20</v>
      </c>
      <c r="X34" s="11">
        <v>1158.48</v>
      </c>
      <c r="Y34" s="12">
        <v>353.1</v>
      </c>
      <c r="Z34" s="12">
        <v>12.185342982237275</v>
      </c>
      <c r="AA34" s="12">
        <v>0.7470737369604481</v>
      </c>
      <c r="AB34" s="12">
        <v>112.97252853109389</v>
      </c>
    </row>
    <row r="35" spans="1:28" ht="14.5" x14ac:dyDescent="0.35">
      <c r="A35" s="6" t="s">
        <v>6</v>
      </c>
      <c r="B35" s="42" t="s">
        <v>15</v>
      </c>
      <c r="C35" s="7">
        <v>680.86442399999999</v>
      </c>
      <c r="D35" s="56">
        <v>207.53</v>
      </c>
      <c r="E35" s="12">
        <v>9.1300000000000008</v>
      </c>
      <c r="F35" s="13">
        <v>0.75</v>
      </c>
      <c r="G35"/>
      <c r="H35"/>
      <c r="I35"/>
      <c r="J35"/>
      <c r="K35"/>
      <c r="L35"/>
      <c r="M35"/>
      <c r="N35"/>
      <c r="O35"/>
      <c r="P35"/>
      <c r="Q35"/>
      <c r="R35"/>
      <c r="S35"/>
      <c r="T35" s="6" t="s">
        <v>6</v>
      </c>
      <c r="U35" s="43" t="s">
        <v>16</v>
      </c>
      <c r="V35" s="11" t="s">
        <v>19</v>
      </c>
      <c r="W35" s="11" t="s">
        <v>20</v>
      </c>
      <c r="X35" s="11">
        <v>1158.48</v>
      </c>
      <c r="Y35" s="12">
        <v>353.1</v>
      </c>
      <c r="Z35" s="12">
        <v>13.081982080144249</v>
      </c>
      <c r="AA35" s="12">
        <v>0.91966816909884919</v>
      </c>
      <c r="AB35" s="12">
        <v>89.789010505149221</v>
      </c>
    </row>
    <row r="36" spans="1:28" ht="14.5" x14ac:dyDescent="0.35">
      <c r="A36" s="6" t="s">
        <v>6</v>
      </c>
      <c r="B36" s="42" t="s">
        <v>15</v>
      </c>
      <c r="C36" s="7">
        <v>685.65439200000003</v>
      </c>
      <c r="D36" s="56">
        <v>208.99</v>
      </c>
      <c r="E36" s="12">
        <v>13.24</v>
      </c>
      <c r="F36" s="13">
        <v>0.44</v>
      </c>
      <c r="G36"/>
      <c r="H36"/>
      <c r="I36"/>
      <c r="J36"/>
      <c r="K36"/>
      <c r="L36"/>
      <c r="M36"/>
      <c r="N36"/>
      <c r="O36"/>
      <c r="P36"/>
      <c r="Q36"/>
      <c r="R36"/>
      <c r="S36"/>
      <c r="T36" s="45" t="s">
        <v>23</v>
      </c>
      <c r="U36" s="44" t="s">
        <v>24</v>
      </c>
      <c r="V36" s="11" t="s">
        <v>25</v>
      </c>
      <c r="W36" s="11" t="s">
        <v>27</v>
      </c>
      <c r="X36" s="11"/>
      <c r="Y36" s="11"/>
      <c r="Z36" s="12">
        <v>16.569785624474893</v>
      </c>
      <c r="AA36" s="12">
        <v>0.43836022080747189</v>
      </c>
      <c r="AB36" s="12">
        <v>193.7257737789235</v>
      </c>
    </row>
    <row r="37" spans="1:28" ht="14.5" x14ac:dyDescent="0.35">
      <c r="A37" s="6" t="s">
        <v>6</v>
      </c>
      <c r="B37" s="42" t="s">
        <v>15</v>
      </c>
      <c r="C37" s="7">
        <v>685.65439200000003</v>
      </c>
      <c r="D37" s="56">
        <v>208.99</v>
      </c>
      <c r="E37" s="12">
        <v>12.35</v>
      </c>
      <c r="F37" s="13">
        <v>0.66</v>
      </c>
      <c r="G37"/>
      <c r="H37"/>
      <c r="I37"/>
      <c r="J37"/>
      <c r="K37"/>
      <c r="L37"/>
      <c r="M37"/>
      <c r="N37"/>
      <c r="O37"/>
      <c r="P37"/>
      <c r="Q37"/>
      <c r="R37"/>
      <c r="S37"/>
      <c r="T37" s="45" t="s">
        <v>23</v>
      </c>
      <c r="U37" s="44" t="s">
        <v>24</v>
      </c>
      <c r="V37" s="11" t="s">
        <v>25</v>
      </c>
      <c r="W37" s="11" t="s">
        <v>27</v>
      </c>
      <c r="X37" s="11"/>
      <c r="Y37" s="11"/>
      <c r="Z37" s="12">
        <v>15.135762939447762</v>
      </c>
      <c r="AA37" s="12">
        <v>0.52441347910393454</v>
      </c>
      <c r="AB37" s="12">
        <v>167.54367147170666</v>
      </c>
    </row>
    <row r="38" spans="1:28" ht="14.5" x14ac:dyDescent="0.35">
      <c r="A38" s="6" t="s">
        <v>6</v>
      </c>
      <c r="B38" s="42" t="s">
        <v>15</v>
      </c>
      <c r="C38" s="7">
        <v>685.65439200000003</v>
      </c>
      <c r="D38" s="56">
        <v>208.99</v>
      </c>
      <c r="E38" s="12">
        <v>12.86</v>
      </c>
      <c r="F38" s="13">
        <v>0.62</v>
      </c>
      <c r="G38"/>
      <c r="H38"/>
      <c r="I38"/>
      <c r="J38"/>
      <c r="K38"/>
      <c r="L38"/>
      <c r="M38"/>
      <c r="N38"/>
      <c r="O38"/>
      <c r="P38"/>
      <c r="Q38"/>
      <c r="R38"/>
      <c r="S38"/>
      <c r="T38" s="45" t="s">
        <v>23</v>
      </c>
      <c r="U38" s="44" t="s">
        <v>24</v>
      </c>
      <c r="V38" s="11" t="s">
        <v>25</v>
      </c>
      <c r="W38" s="11" t="s">
        <v>27</v>
      </c>
      <c r="X38" s="11"/>
      <c r="Y38" s="11"/>
      <c r="Z38" s="12">
        <v>16.183903285508816</v>
      </c>
      <c r="AA38" s="12">
        <v>0.43879223735366996</v>
      </c>
      <c r="AB38" s="12">
        <v>156.29089197685786</v>
      </c>
    </row>
    <row r="39" spans="1:28" ht="14.5" x14ac:dyDescent="0.35">
      <c r="A39" s="6" t="s">
        <v>6</v>
      </c>
      <c r="B39" s="42" t="s">
        <v>15</v>
      </c>
      <c r="C39" s="7">
        <v>685.65439200000003</v>
      </c>
      <c r="D39" s="57">
        <v>208.99</v>
      </c>
      <c r="E39" s="12">
        <v>13.25</v>
      </c>
      <c r="F39" s="13">
        <v>0.87</v>
      </c>
      <c r="G39"/>
      <c r="H39"/>
      <c r="I39"/>
      <c r="J39"/>
      <c r="K39"/>
      <c r="L39"/>
      <c r="M39"/>
      <c r="N39"/>
      <c r="O39"/>
      <c r="P39"/>
      <c r="Q39"/>
      <c r="R39"/>
      <c r="S39"/>
      <c r="T39" s="45" t="s">
        <v>23</v>
      </c>
      <c r="U39" s="44" t="s">
        <v>24</v>
      </c>
      <c r="V39" s="11" t="s">
        <v>25</v>
      </c>
      <c r="W39" s="11" t="s">
        <v>27</v>
      </c>
      <c r="X39" s="11"/>
      <c r="Y39" s="11"/>
      <c r="Z39" s="12">
        <v>14.885558848867989</v>
      </c>
      <c r="AA39" s="12">
        <v>1.0039704504088516</v>
      </c>
      <c r="AB39" s="12">
        <v>143.99668149182506</v>
      </c>
    </row>
    <row r="40" spans="1:28" ht="13" x14ac:dyDescent="0.3">
      <c r="T40" s="45" t="s">
        <v>23</v>
      </c>
      <c r="U40" s="44" t="s">
        <v>24</v>
      </c>
      <c r="V40" s="11" t="s">
        <v>25</v>
      </c>
      <c r="W40" s="11" t="s">
        <v>27</v>
      </c>
      <c r="X40" s="11"/>
      <c r="Y40" s="11"/>
      <c r="Z40" s="12">
        <v>15.657014769126036</v>
      </c>
      <c r="AA40" s="12">
        <v>0.93281573860130107</v>
      </c>
      <c r="AB40" s="12">
        <v>170.30721230610641</v>
      </c>
    </row>
    <row r="41" spans="1:28" ht="13" x14ac:dyDescent="0.3">
      <c r="T41" s="45" t="s">
        <v>23</v>
      </c>
      <c r="U41" s="44" t="s">
        <v>24</v>
      </c>
      <c r="V41" s="11" t="s">
        <v>25</v>
      </c>
      <c r="W41" s="11" t="s">
        <v>27</v>
      </c>
      <c r="X41" s="11"/>
      <c r="Y41" s="11"/>
      <c r="Z41" s="12">
        <v>16.099507498913827</v>
      </c>
      <c r="AA41" s="12">
        <v>0.90966025919289972</v>
      </c>
      <c r="AB41" s="12">
        <v>248.63680108272226</v>
      </c>
    </row>
    <row r="42" spans="1:28" ht="13" x14ac:dyDescent="0.3">
      <c r="T42" s="45" t="s">
        <v>23</v>
      </c>
      <c r="U42" s="44" t="s">
        <v>24</v>
      </c>
      <c r="V42" s="11" t="s">
        <v>19</v>
      </c>
      <c r="W42" s="11" t="s">
        <v>27</v>
      </c>
      <c r="X42" s="11"/>
      <c r="Y42" s="11"/>
      <c r="Z42" s="12">
        <v>15.642482884170423</v>
      </c>
      <c r="AA42" s="12">
        <v>0.58376141469163345</v>
      </c>
      <c r="AB42" s="12">
        <v>172.87214925561764</v>
      </c>
    </row>
    <row r="43" spans="1:28" ht="13" x14ac:dyDescent="0.3">
      <c r="T43" s="45" t="s">
        <v>23</v>
      </c>
      <c r="U43" s="44" t="s">
        <v>24</v>
      </c>
      <c r="V43" s="11" t="s">
        <v>19</v>
      </c>
      <c r="W43" s="11" t="s">
        <v>27</v>
      </c>
      <c r="X43" s="11"/>
      <c r="Y43" s="11"/>
      <c r="Z43" s="12">
        <v>15.493758150740311</v>
      </c>
      <c r="AA43" s="12">
        <v>0.43123401708484105</v>
      </c>
      <c r="AB43" s="12">
        <v>149.12223673872236</v>
      </c>
    </row>
    <row r="44" spans="1:28" ht="13" x14ac:dyDescent="0.3">
      <c r="T44" s="45" t="s">
        <v>23</v>
      </c>
      <c r="U44" s="44" t="s">
        <v>24</v>
      </c>
      <c r="V44" s="11" t="s">
        <v>19</v>
      </c>
      <c r="W44" s="11" t="s">
        <v>27</v>
      </c>
      <c r="X44" s="11"/>
      <c r="Y44" s="11"/>
      <c r="Z44" s="12">
        <v>15.417592451262292</v>
      </c>
      <c r="AA44" s="12">
        <v>0.72987817048086345</v>
      </c>
      <c r="AB44" s="12">
        <v>155.51097616024842</v>
      </c>
    </row>
    <row r="45" spans="1:28" ht="13" x14ac:dyDescent="0.3">
      <c r="T45" s="45" t="s">
        <v>23</v>
      </c>
      <c r="U45" s="44" t="s">
        <v>24</v>
      </c>
      <c r="V45" s="11" t="s">
        <v>19</v>
      </c>
      <c r="W45" s="11" t="s">
        <v>27</v>
      </c>
      <c r="X45" s="11"/>
      <c r="Y45" s="11"/>
      <c r="Z45" s="12">
        <v>15.43819666711161</v>
      </c>
      <c r="AA45" s="12">
        <v>0.55291496227208003</v>
      </c>
      <c r="AB45" s="12">
        <v>177.59250812870948</v>
      </c>
    </row>
    <row r="46" spans="1:28" ht="13" x14ac:dyDescent="0.3">
      <c r="T46" s="45" t="s">
        <v>23</v>
      </c>
      <c r="U46" s="44" t="s">
        <v>24</v>
      </c>
      <c r="V46" s="11" t="s">
        <v>19</v>
      </c>
      <c r="W46" s="11" t="s">
        <v>27</v>
      </c>
      <c r="X46" s="11"/>
      <c r="Y46" s="11"/>
      <c r="Z46" s="12">
        <v>15.358204172480269</v>
      </c>
      <c r="AA46" s="12">
        <v>0.6241390496824667</v>
      </c>
      <c r="AB46" s="12">
        <v>188.45349629906494</v>
      </c>
    </row>
    <row r="47" spans="1:28" ht="13" x14ac:dyDescent="0.3">
      <c r="T47" s="45" t="s">
        <v>23</v>
      </c>
      <c r="U47" s="44" t="s">
        <v>24</v>
      </c>
      <c r="V47" s="11" t="s">
        <v>19</v>
      </c>
      <c r="W47" s="11" t="s">
        <v>27</v>
      </c>
      <c r="X47" s="11"/>
      <c r="Y47" s="11"/>
      <c r="Z47" s="12">
        <v>15.468222354221339</v>
      </c>
      <c r="AA47" s="12">
        <v>0.54834071462644907</v>
      </c>
      <c r="AB47" s="12">
        <v>178.765525382688</v>
      </c>
    </row>
    <row r="48" spans="1:28" ht="13" x14ac:dyDescent="0.3">
      <c r="T48" s="45" t="s">
        <v>23</v>
      </c>
      <c r="U48" s="44" t="s">
        <v>24</v>
      </c>
      <c r="V48" s="11" t="s">
        <v>19</v>
      </c>
      <c r="W48" s="11" t="s">
        <v>27</v>
      </c>
      <c r="X48" s="11"/>
      <c r="Y48" s="11"/>
      <c r="Z48" s="12">
        <v>16.288728620025541</v>
      </c>
      <c r="AA48" s="12">
        <v>0.54382574553463181</v>
      </c>
      <c r="AB48" s="12">
        <v>232.04276598794982</v>
      </c>
    </row>
    <row r="49" spans="20:28" ht="13" x14ac:dyDescent="0.3">
      <c r="T49" s="45" t="s">
        <v>23</v>
      </c>
      <c r="U49" s="44" t="s">
        <v>24</v>
      </c>
      <c r="V49" s="11" t="s">
        <v>19</v>
      </c>
      <c r="W49" s="11" t="s">
        <v>27</v>
      </c>
      <c r="X49" s="11"/>
      <c r="Y49" s="11"/>
      <c r="Z49" s="12">
        <v>16.190519279817167</v>
      </c>
      <c r="AA49" s="12">
        <v>0.42980982576195875</v>
      </c>
      <c r="AB49" s="12">
        <v>177.76883457623728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stable isotope</vt:lpstr>
      <vt:lpstr>trace element</vt:lpstr>
      <vt:lpstr>boron isotope</vt:lpstr>
    </vt:vector>
  </TitlesOfParts>
  <Company>University of Southampton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 Babila</dc:creator>
  <cp:lastModifiedBy>Tali Babila</cp:lastModifiedBy>
  <dcterms:created xsi:type="dcterms:W3CDTF">2020-12-24T16:12:52Z</dcterms:created>
  <dcterms:modified xsi:type="dcterms:W3CDTF">2021-06-24T11:01:23Z</dcterms:modified>
</cp:coreProperties>
</file>